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4C30110C-D42A-43AE-B927-F74900EC50BE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제조견적서" sheetId="1" r:id="rId1"/>
    <sheet name="단가마스터" sheetId="2" r:id="rId2"/>
    <sheet name="원가분석" sheetId="3" r:id="rId3"/>
    <sheet name="사용법" sheetId="4" r:id="rId4"/>
  </sheets>
  <definedNames>
    <definedName name="_xlnm.Print_Area" localSheetId="3">사용법!$B$1:$C$47</definedName>
    <definedName name="_xlnm.Print_Area" localSheetId="0">제조견적서!$B$1:$O$60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35" i="1" l="1"/>
  <c r="X34" i="1"/>
  <c r="W34" i="1"/>
  <c r="X33" i="1"/>
  <c r="W33" i="1"/>
  <c r="X32" i="1"/>
  <c r="W32" i="1"/>
  <c r="X31" i="1"/>
  <c r="W31" i="1"/>
  <c r="X30" i="1"/>
  <c r="W30" i="1"/>
  <c r="X29" i="1"/>
  <c r="W29" i="1"/>
  <c r="X28" i="1"/>
  <c r="W28" i="1"/>
  <c r="X27" i="1"/>
  <c r="W27" i="1"/>
  <c r="X26" i="1"/>
  <c r="W26" i="1"/>
  <c r="X25" i="1"/>
  <c r="W25" i="1"/>
  <c r="X24" i="1"/>
  <c r="W24" i="1"/>
  <c r="X23" i="1"/>
  <c r="W23" i="1"/>
  <c r="X22" i="1"/>
  <c r="W22" i="1"/>
  <c r="X21" i="1"/>
  <c r="W21" i="1"/>
  <c r="X20" i="1"/>
  <c r="W20" i="1"/>
  <c r="G48" i="3"/>
  <c r="F48" i="3"/>
  <c r="E48" i="3"/>
  <c r="G42" i="3"/>
  <c r="F42" i="3"/>
  <c r="E42" i="3"/>
  <c r="G40" i="3"/>
  <c r="F40" i="3"/>
  <c r="E40" i="3"/>
  <c r="G34" i="3"/>
  <c r="F34" i="3"/>
  <c r="E34" i="3"/>
  <c r="G32" i="3"/>
  <c r="F32" i="3"/>
  <c r="E32" i="3"/>
  <c r="G29" i="3"/>
  <c r="F29" i="3"/>
  <c r="E29" i="3"/>
  <c r="G28" i="3"/>
  <c r="F28" i="3"/>
  <c r="E28" i="3"/>
  <c r="G27" i="3"/>
  <c r="F27" i="3"/>
  <c r="E27" i="3"/>
  <c r="B21" i="3"/>
  <c r="I21" i="3" s="1"/>
  <c r="B20" i="3"/>
  <c r="I20" i="3" s="1"/>
  <c r="B19" i="3"/>
  <c r="I19" i="3" s="1"/>
  <c r="B18" i="3"/>
  <c r="I18" i="3" s="1"/>
  <c r="B17" i="3"/>
  <c r="D17" i="3" s="1"/>
  <c r="G16" i="3"/>
  <c r="F16" i="3"/>
  <c r="E16" i="3"/>
  <c r="B10" i="3"/>
  <c r="B9" i="3"/>
  <c r="B8" i="3"/>
  <c r="G7" i="3"/>
  <c r="F7" i="3"/>
  <c r="E7" i="3"/>
  <c r="H18" i="2"/>
  <c r="G14" i="2"/>
  <c r="G8" i="2"/>
  <c r="G7" i="2"/>
  <c r="G6" i="2"/>
  <c r="B59" i="1"/>
  <c r="I57" i="1"/>
  <c r="G57" i="1"/>
  <c r="D16" i="1" s="1"/>
  <c r="H48" i="1"/>
  <c r="F48" i="1"/>
  <c r="D48" i="1"/>
  <c r="H47" i="1"/>
  <c r="F47" i="1"/>
  <c r="D47" i="1"/>
  <c r="H46" i="1"/>
  <c r="F46" i="1"/>
  <c r="D46" i="1"/>
  <c r="O42" i="1"/>
  <c r="O41" i="1"/>
  <c r="O40" i="1"/>
  <c r="O39" i="1"/>
  <c r="N38" i="1"/>
  <c r="O38" i="1" s="1"/>
  <c r="O43" i="1" s="1"/>
  <c r="F42" i="1"/>
  <c r="D42" i="1"/>
  <c r="G42" i="1" s="1"/>
  <c r="F41" i="1"/>
  <c r="D41" i="1"/>
  <c r="G41" i="1" s="1"/>
  <c r="F40" i="1"/>
  <c r="D40" i="1"/>
  <c r="G40" i="1" s="1"/>
  <c r="F39" i="1"/>
  <c r="D39" i="1"/>
  <c r="G39" i="1" s="1"/>
  <c r="F38" i="1"/>
  <c r="D38" i="1"/>
  <c r="G38" i="1" s="1"/>
  <c r="D34" i="1"/>
  <c r="T33" i="1"/>
  <c r="H33" i="1"/>
  <c r="G33" i="1"/>
  <c r="F33" i="1"/>
  <c r="E33" i="1"/>
  <c r="T32" i="1"/>
  <c r="H32" i="1"/>
  <c r="G32" i="1"/>
  <c r="F32" i="1"/>
  <c r="E32" i="1"/>
  <c r="T31" i="1"/>
  <c r="H31" i="1"/>
  <c r="G31" i="1"/>
  <c r="F31" i="1"/>
  <c r="E31" i="1"/>
  <c r="T30" i="1"/>
  <c r="H30" i="1"/>
  <c r="G30" i="1"/>
  <c r="F30" i="1"/>
  <c r="E30" i="1"/>
  <c r="T29" i="1"/>
  <c r="H29" i="1"/>
  <c r="G29" i="1"/>
  <c r="F29" i="1"/>
  <c r="E29" i="1"/>
  <c r="T28" i="1"/>
  <c r="H28" i="1"/>
  <c r="G28" i="1"/>
  <c r="F28" i="1"/>
  <c r="E28" i="1"/>
  <c r="T27" i="1"/>
  <c r="H27" i="1"/>
  <c r="G27" i="1"/>
  <c r="F27" i="1"/>
  <c r="E27" i="1"/>
  <c r="T26" i="1"/>
  <c r="H26" i="1"/>
  <c r="G26" i="1"/>
  <c r="F26" i="1"/>
  <c r="E26" i="1"/>
  <c r="T25" i="1"/>
  <c r="H25" i="1"/>
  <c r="G25" i="1"/>
  <c r="F25" i="1"/>
  <c r="E25" i="1"/>
  <c r="T24" i="1"/>
  <c r="H24" i="1"/>
  <c r="G24" i="1"/>
  <c r="F24" i="1"/>
  <c r="E24" i="1"/>
  <c r="T23" i="1"/>
  <c r="H23" i="1"/>
  <c r="G23" i="1"/>
  <c r="F23" i="1"/>
  <c r="E23" i="1"/>
  <c r="T22" i="1"/>
  <c r="C10" i="3" s="1"/>
  <c r="F22" i="1"/>
  <c r="D10" i="3" s="1"/>
  <c r="E22" i="1"/>
  <c r="H22" i="1" s="1"/>
  <c r="T21" i="1"/>
  <c r="C9" i="3" s="1"/>
  <c r="F21" i="1"/>
  <c r="D9" i="3" s="1"/>
  <c r="E21" i="1"/>
  <c r="H21" i="1" s="1"/>
  <c r="T20" i="1"/>
  <c r="C8" i="3" s="1"/>
  <c r="F20" i="1"/>
  <c r="D8" i="3" s="1"/>
  <c r="E20" i="1"/>
  <c r="H20" i="1" s="1"/>
  <c r="B4" i="1"/>
  <c r="G43" i="1" l="1"/>
  <c r="G53" i="1" s="1"/>
  <c r="I53" i="1" s="1"/>
  <c r="I17" i="3"/>
  <c r="I22" i="3" s="1"/>
  <c r="C20" i="3"/>
  <c r="D20" i="3"/>
  <c r="V20" i="1"/>
  <c r="H34" i="1"/>
  <c r="G20" i="1"/>
  <c r="G54" i="1"/>
  <c r="I54" i="1" s="1"/>
  <c r="R9" i="1"/>
  <c r="V22" i="1"/>
  <c r="G22" i="1"/>
  <c r="E8" i="3"/>
  <c r="E11" i="3" s="1"/>
  <c r="G8" i="3"/>
  <c r="G11" i="3" s="1"/>
  <c r="F8" i="3"/>
  <c r="V21" i="1"/>
  <c r="G21" i="1"/>
  <c r="G9" i="3"/>
  <c r="F9" i="3"/>
  <c r="E9" i="3"/>
  <c r="G10" i="3"/>
  <c r="F10" i="3"/>
  <c r="E10" i="3"/>
  <c r="E12" i="3"/>
  <c r="F12" i="3"/>
  <c r="C18" i="3"/>
  <c r="E20" i="3"/>
  <c r="G12" i="3"/>
  <c r="D18" i="3"/>
  <c r="F20" i="3"/>
  <c r="E34" i="1"/>
  <c r="C21" i="3"/>
  <c r="D21" i="3"/>
  <c r="C19" i="3"/>
  <c r="D19" i="3"/>
  <c r="C17" i="3"/>
  <c r="G20" i="3" l="1"/>
  <c r="E13" i="3"/>
  <c r="G19" i="3"/>
  <c r="F19" i="3"/>
  <c r="E19" i="3"/>
  <c r="G17" i="3"/>
  <c r="F17" i="3"/>
  <c r="E17" i="3"/>
  <c r="G13" i="3"/>
  <c r="G21" i="3"/>
  <c r="F21" i="3"/>
  <c r="E21" i="3"/>
  <c r="G18" i="3"/>
  <c r="F18" i="3"/>
  <c r="E18" i="3"/>
  <c r="G34" i="1"/>
  <c r="F11" i="3"/>
  <c r="G23" i="3"/>
  <c r="F23" i="3"/>
  <c r="E23" i="3"/>
  <c r="E22" i="3" l="1"/>
  <c r="G22" i="3"/>
  <c r="F22" i="3"/>
  <c r="F24" i="3"/>
  <c r="F41" i="3"/>
  <c r="F13" i="3"/>
  <c r="F33" i="3"/>
  <c r="F49" i="3"/>
  <c r="F50" i="3"/>
  <c r="F51" i="3"/>
  <c r="E24" i="3"/>
  <c r="R7" i="1"/>
  <c r="G52" i="1"/>
  <c r="G24" i="3"/>
  <c r="E33" i="3"/>
  <c r="E41" i="3"/>
  <c r="E50" i="3" l="1"/>
  <c r="E49" i="3"/>
  <c r="E51" i="3"/>
  <c r="G41" i="3"/>
  <c r="G50" i="3"/>
  <c r="G49" i="3"/>
  <c r="G51" i="3"/>
  <c r="G33" i="3"/>
  <c r="E37" i="3"/>
  <c r="E35" i="3"/>
  <c r="E36" i="3" s="1"/>
  <c r="G55" i="1"/>
  <c r="I52" i="1"/>
  <c r="F37" i="3"/>
  <c r="F35" i="3"/>
  <c r="F36" i="3" s="1"/>
  <c r="F45" i="3"/>
  <c r="F43" i="3"/>
  <c r="F44" i="3" s="1"/>
  <c r="E45" i="3"/>
  <c r="E43" i="3"/>
  <c r="E44" i="3" s="1"/>
  <c r="G35" i="3" l="1"/>
  <c r="G36" i="3" s="1"/>
  <c r="G37" i="3"/>
  <c r="G45" i="3"/>
  <c r="G43" i="3"/>
  <c r="G44" i="3" s="1"/>
  <c r="G56" i="1"/>
  <c r="I56" i="1" s="1"/>
  <c r="I55" i="1"/>
</calcChain>
</file>

<file path=xl/sharedStrings.xml><?xml version="1.0" encoding="utf-8"?>
<sst xmlns="http://schemas.openxmlformats.org/spreadsheetml/2006/main" count="280" uniqueCount="227">
  <si>
    <t>제 조   견 적 서</t>
  </si>
  <si>
    <t>수율(로스율)</t>
  </si>
  <si>
    <t>공
급
자</t>
  </si>
  <si>
    <t>등록번호</t>
  </si>
  <si>
    <t>848-88-02640</t>
  </si>
  <si>
    <t>인상율 (미적용)</t>
  </si>
  <si>
    <t>상호명</t>
  </si>
  <si>
    <t>주식회사 서래바이오</t>
  </si>
  <si>
    <t>대표자명</t>
  </si>
  <si>
    <t>지종환</t>
  </si>
  <si>
    <t>고객사명</t>
  </si>
  <si>
    <t>귀하</t>
  </si>
  <si>
    <t>사업장주소</t>
  </si>
  <si>
    <t>경기도 화성시 효행구 정남면 신백길 102-14</t>
  </si>
  <si>
    <t>원료+부자재 인상전(set당)</t>
  </si>
  <si>
    <t>업 태</t>
  </si>
  <si>
    <t>제조업, 도매 및 소매업, 정보통신업, 전문·과학 및 기술 서비스업</t>
  </si>
  <si>
    <t>아래와 같이 견적 합니다.</t>
  </si>
  <si>
    <t>종 목</t>
  </si>
  <si>
    <t>건강보조용 액화식품, 전자상거래 소매업, 응용 소프트웨어 개발 및 공급업</t>
  </si>
  <si>
    <t>가공비(set당)</t>
  </si>
  <si>
    <t>담당자</t>
  </si>
  <si>
    <t>박영주 팀장 / 010-6850-3819</t>
  </si>
  <si>
    <t>목표 공급단가 (원/set)</t>
  </si>
  <si>
    <t>제 품 명</t>
  </si>
  <si>
    <t>(발주) 양배추 정 600mg x 60정</t>
  </si>
  <si>
    <t>포장형태</t>
  </si>
  <si>
    <t>제품분류</t>
  </si>
  <si>
    <t>과·채가공품</t>
  </si>
  <si>
    <t>내 용 량</t>
  </si>
  <si>
    <t>가공비 로트 총액 (원)</t>
  </si>
  <si>
    <t>제품제형</t>
  </si>
  <si>
    <t>정제</t>
  </si>
  <si>
    <t>포장단위</t>
  </si>
  <si>
    <t>발주수량</t>
  </si>
  <si>
    <t>섭 취 량</t>
  </si>
  <si>
    <r>
      <rPr>
        <sz val="9.5"/>
        <color rgb="FF191919"/>
        <rFont val="맑은 고딕"/>
        <family val="3"/>
        <charset val="129"/>
      </rPr>
      <t>1</t>
    </r>
    <r>
      <rPr>
        <sz val="9.5"/>
        <color rgb="FF191919"/>
        <rFont val="Noto Sans CJK SC"/>
        <family val="2"/>
      </rPr>
      <t xml:space="preserve">일 </t>
    </r>
    <r>
      <rPr>
        <sz val="9.5"/>
        <color rgb="FF191919"/>
        <rFont val="맑은 고딕"/>
        <family val="3"/>
        <charset val="129"/>
      </rPr>
      <t>1</t>
    </r>
    <r>
      <rPr>
        <sz val="9.5"/>
        <color rgb="FF191919"/>
        <rFont val="Noto Sans CJK SC"/>
        <family val="2"/>
      </rPr>
      <t xml:space="preserve">회 </t>
    </r>
    <r>
      <rPr>
        <sz val="9.5"/>
        <color rgb="FF191919"/>
        <rFont val="맑은 고딕"/>
        <family val="3"/>
        <charset val="129"/>
      </rPr>
      <t>2</t>
    </r>
    <r>
      <rPr>
        <sz val="9.5"/>
        <color rgb="FF191919"/>
        <rFont val="Noto Sans CJK SC"/>
        <family val="2"/>
      </rPr>
      <t>정</t>
    </r>
  </si>
  <si>
    <t>최종 견적가  (총액 / VAT 별도)</t>
  </si>
  <si>
    <r>
      <rPr>
        <b/>
        <sz val="9"/>
        <color rgb="FF6E706F"/>
        <rFont val="맑은 고딕"/>
        <family val="3"/>
        <charset val="129"/>
      </rPr>
      <t xml:space="preserve">* </t>
    </r>
    <r>
      <rPr>
        <b/>
        <sz val="9"/>
        <color rgb="FF6E706F"/>
        <rFont val="Noto Sans CJK SC"/>
        <family val="2"/>
      </rPr>
      <t>원재료비</t>
    </r>
  </si>
  <si>
    <t>원 료 명</t>
  </si>
  <si>
    <t>배합비
(%)</t>
  </si>
  <si>
    <t>함 량
(mg/단위)</t>
  </si>
  <si>
    <t>단 가
(원/Kg)</t>
  </si>
  <si>
    <t>금 액
(원/총액)</t>
  </si>
  <si>
    <t>총 사용량
(g)</t>
  </si>
  <si>
    <t>표시량
(mg)</t>
  </si>
  <si>
    <t>패킹단위(kg)</t>
  </si>
  <si>
    <t>소요 팩수</t>
  </si>
  <si>
    <t>실구매액(원)</t>
  </si>
  <si>
    <t>이론 소요액(원)</t>
  </si>
  <si>
    <t>양배추추출분말</t>
  </si>
  <si>
    <t>이산화규소</t>
  </si>
  <si>
    <t>스테아린산마그네슘</t>
  </si>
  <si>
    <t>합  계</t>
  </si>
  <si>
    <t>실구매 합계</t>
  </si>
  <si>
    <t>패킹 올림 차액</t>
  </si>
  <si>
    <r>
      <rPr>
        <b/>
        <sz val="9"/>
        <color rgb="FF6E706F"/>
        <rFont val="맑은 고딕"/>
        <family val="3"/>
        <charset val="129"/>
      </rPr>
      <t xml:space="preserve">* </t>
    </r>
    <r>
      <rPr>
        <b/>
        <sz val="9"/>
        <color rgb="FF6E706F"/>
        <rFont val="Noto Sans CJK SC"/>
        <family val="2"/>
      </rPr>
      <t>부재료비</t>
    </r>
  </si>
  <si>
    <t>재 료 명</t>
  </si>
  <si>
    <t>단 가
(원)</t>
  </si>
  <si>
    <t>수 량
(총)</t>
  </si>
  <si>
    <t>비 고</t>
  </si>
  <si>
    <t>용기 + 캡 (100ml)</t>
  </si>
  <si>
    <r>
      <rPr>
        <sz val="9"/>
        <color rgb="FF191919"/>
        <rFont val="맑은 고딕"/>
        <family val="3"/>
        <charset val="129"/>
      </rPr>
      <t>1</t>
    </r>
    <r>
      <rPr>
        <sz val="9"/>
        <color rgb="FF191919"/>
        <rFont val="Noto Sans CJK SC"/>
        <family val="2"/>
      </rPr>
      <t>개</t>
    </r>
    <r>
      <rPr>
        <sz val="9"/>
        <color rgb="FF191919"/>
        <rFont val="맑은 고딕"/>
        <family val="3"/>
        <charset val="129"/>
      </rPr>
      <t>/set</t>
    </r>
  </si>
  <si>
    <t>라벨</t>
  </si>
  <si>
    <r>
      <rPr>
        <sz val="9"/>
        <color rgb="FF191919"/>
        <rFont val="맑은 고딕"/>
        <family val="3"/>
        <charset val="129"/>
      </rPr>
      <t>1</t>
    </r>
    <r>
      <rPr>
        <sz val="9"/>
        <color rgb="FF191919"/>
        <rFont val="Noto Sans CJK SC"/>
        <family val="2"/>
      </rPr>
      <t>장</t>
    </r>
    <r>
      <rPr>
        <sz val="9"/>
        <color rgb="FF191919"/>
        <rFont val="맑은 고딕"/>
        <family val="3"/>
        <charset val="129"/>
      </rPr>
      <t>/set · 1,000</t>
    </r>
    <r>
      <rPr>
        <sz val="9"/>
        <color rgb="FF191919"/>
        <rFont val="Noto Sans CJK SC"/>
        <family val="2"/>
      </rPr>
      <t xml:space="preserve">장 </t>
    </r>
    <r>
      <rPr>
        <sz val="9"/>
        <color rgb="FF191919"/>
        <rFont val="맑은 고딕"/>
        <family val="3"/>
        <charset val="129"/>
      </rPr>
      <t>240,000</t>
    </r>
    <r>
      <rPr>
        <sz val="9"/>
        <color rgb="FF191919"/>
        <rFont val="Noto Sans CJK SC"/>
        <family val="2"/>
      </rPr>
      <t>원</t>
    </r>
  </si>
  <si>
    <t>실리카겔 (1g)</t>
  </si>
  <si>
    <r>
      <rPr>
        <sz val="9"/>
        <color rgb="FF191919"/>
        <rFont val="맑은 고딕"/>
        <family val="3"/>
        <charset val="129"/>
      </rPr>
      <t>1</t>
    </r>
    <r>
      <rPr>
        <sz val="9"/>
        <color rgb="FF191919"/>
        <rFont val="Noto Sans CJK SC"/>
        <family val="2"/>
      </rPr>
      <t>개</t>
    </r>
    <r>
      <rPr>
        <sz val="9"/>
        <color rgb="FF191919"/>
        <rFont val="맑은 고딕"/>
        <family val="3"/>
        <charset val="129"/>
      </rPr>
      <t>/set · 12,000</t>
    </r>
    <r>
      <rPr>
        <sz val="9"/>
        <color rgb="FF191919"/>
        <rFont val="Noto Sans CJK SC"/>
        <family val="2"/>
      </rPr>
      <t>개 단위 발주</t>
    </r>
  </si>
  <si>
    <r>
      <rPr>
        <sz val="9"/>
        <color rgb="FF191919"/>
        <rFont val="맑은 고딕"/>
        <family val="3"/>
        <charset val="129"/>
      </rPr>
      <t>PE</t>
    </r>
    <r>
      <rPr>
        <sz val="9"/>
        <color rgb="FF191919"/>
        <rFont val="Noto Sans CJK SC"/>
        <family val="2"/>
      </rPr>
      <t>완충비닐</t>
    </r>
  </si>
  <si>
    <r>
      <rPr>
        <sz val="9"/>
        <color rgb="FF191919"/>
        <rFont val="맑은 고딕"/>
        <family val="3"/>
        <charset val="129"/>
      </rPr>
      <t>1</t>
    </r>
    <r>
      <rPr>
        <sz val="9"/>
        <color rgb="FF191919"/>
        <rFont val="Noto Sans CJK SC"/>
        <family val="2"/>
      </rPr>
      <t>매</t>
    </r>
    <r>
      <rPr>
        <sz val="9"/>
        <color rgb="FF191919"/>
        <rFont val="맑은 고딕"/>
        <family val="3"/>
        <charset val="129"/>
      </rPr>
      <t>/set · 1</t>
    </r>
    <r>
      <rPr>
        <sz val="9"/>
        <color rgb="FF191919"/>
        <rFont val="Noto Sans CJK SC"/>
        <family val="2"/>
      </rPr>
      <t xml:space="preserve">롤 </t>
    </r>
    <r>
      <rPr>
        <sz val="9"/>
        <color rgb="FF191919"/>
        <rFont val="맑은 고딕"/>
        <family val="3"/>
        <charset val="129"/>
      </rPr>
      <t>19,000</t>
    </r>
    <r>
      <rPr>
        <sz val="9"/>
        <color rgb="FF191919"/>
        <rFont val="Noto Sans CJK SC"/>
        <family val="2"/>
      </rPr>
      <t>원</t>
    </r>
    <r>
      <rPr>
        <sz val="9"/>
        <color rgb="FF191919"/>
        <rFont val="맑은 고딕"/>
        <family val="3"/>
        <charset val="129"/>
      </rPr>
      <t>, 20×16cm</t>
    </r>
  </si>
  <si>
    <t>운송용카톤</t>
  </si>
  <si>
    <r>
      <rPr>
        <sz val="9"/>
        <color rgb="FF191919"/>
        <rFont val="맑은 고딕"/>
        <family val="3"/>
        <charset val="129"/>
      </rPr>
      <t>50</t>
    </r>
    <r>
      <rPr>
        <sz val="9"/>
        <color rgb="FF191919"/>
        <rFont val="Noto Sans CJK SC"/>
        <family val="2"/>
      </rPr>
      <t>입</t>
    </r>
    <r>
      <rPr>
        <sz val="9"/>
        <color rgb="FF191919"/>
        <rFont val="맑은 고딕"/>
        <family val="3"/>
        <charset val="129"/>
      </rPr>
      <t>/</t>
    </r>
    <r>
      <rPr>
        <sz val="9"/>
        <color rgb="FF191919"/>
        <rFont val="Noto Sans CJK SC"/>
        <family val="2"/>
      </rPr>
      <t>카톤</t>
    </r>
  </si>
  <si>
    <r>
      <rPr>
        <b/>
        <sz val="9"/>
        <color rgb="FF6E706F"/>
        <rFont val="맑은 고딕"/>
        <family val="3"/>
        <charset val="129"/>
      </rPr>
      <t xml:space="preserve">* </t>
    </r>
    <r>
      <rPr>
        <b/>
        <sz val="9"/>
        <color rgb="FF6E706F"/>
        <rFont val="Noto Sans CJK SC"/>
        <family val="2"/>
      </rPr>
      <t xml:space="preserve">가공비  </t>
    </r>
    <r>
      <rPr>
        <b/>
        <sz val="9"/>
        <color rgb="FF6E706F"/>
        <rFont val="맑은 고딕"/>
        <family val="3"/>
        <charset val="129"/>
      </rPr>
      <t>(</t>
    </r>
    <r>
      <rPr>
        <b/>
        <sz val="9"/>
        <color rgb="FF6E706F"/>
        <rFont val="Noto Sans CJK SC"/>
        <family val="2"/>
      </rPr>
      <t xml:space="preserve">인건비 포함 </t>
    </r>
    <r>
      <rPr>
        <b/>
        <sz val="9"/>
        <color rgb="FF6E706F"/>
        <rFont val="맑은 고딕"/>
        <family val="3"/>
        <charset val="129"/>
      </rPr>
      <t xml:space="preserve">· </t>
    </r>
    <r>
      <rPr>
        <b/>
        <sz val="9"/>
        <color rgb="FF6E706F"/>
        <rFont val="Noto Sans CJK SC"/>
        <family val="2"/>
      </rPr>
      <t>로트 총액 기준</t>
    </r>
    <r>
      <rPr>
        <b/>
        <sz val="9"/>
        <color rgb="FF6E706F"/>
        <rFont val="맑은 고딕"/>
        <family val="3"/>
        <charset val="129"/>
      </rPr>
      <t>)</t>
    </r>
  </si>
  <si>
    <t>항 목 명</t>
  </si>
  <si>
    <t>단위/규격</t>
  </si>
  <si>
    <t>수 량</t>
  </si>
  <si>
    <t>금 액
(원)</t>
  </si>
  <si>
    <t>가공비 (인건비 포함)</t>
  </si>
  <si>
    <t>lot</t>
  </si>
  <si>
    <t>제조·충진·포장 인건비 포함 로트 총액</t>
  </si>
  <si>
    <t>소  계</t>
  </si>
  <si>
    <r>
      <rPr>
        <b/>
        <sz val="9"/>
        <color rgb="FF6E706F"/>
        <rFont val="맑은 고딕"/>
        <family val="3"/>
        <charset val="129"/>
      </rPr>
      <t xml:space="preserve">* </t>
    </r>
    <r>
      <rPr>
        <b/>
        <sz val="9"/>
        <color rgb="FF6E706F"/>
        <rFont val="Noto Sans CJK SC"/>
        <family val="2"/>
      </rPr>
      <t xml:space="preserve">수량별 공급가 </t>
    </r>
    <r>
      <rPr>
        <b/>
        <sz val="9"/>
        <color rgb="FF6E706F"/>
        <rFont val="맑은 고딕"/>
        <family val="3"/>
        <charset val="129"/>
      </rPr>
      <t xml:space="preserve">(VAT </t>
    </r>
    <r>
      <rPr>
        <b/>
        <sz val="9"/>
        <color rgb="FF6E706F"/>
        <rFont val="Noto Sans CJK SC"/>
        <family val="2"/>
      </rPr>
      <t>별도</t>
    </r>
    <r>
      <rPr>
        <b/>
        <sz val="9"/>
        <color rgb="FF6E706F"/>
        <rFont val="맑은 고딕"/>
        <family val="3"/>
        <charset val="129"/>
      </rPr>
      <t>)</t>
    </r>
  </si>
  <si>
    <t>공급단가
(원/set)</t>
  </si>
  <si>
    <t>총 금액
(원)</t>
  </si>
  <si>
    <r>
      <rPr>
        <b/>
        <sz val="9"/>
        <color rgb="FF6E706F"/>
        <rFont val="맑은 고딕"/>
        <family val="3"/>
        <charset val="129"/>
      </rPr>
      <t xml:space="preserve">* </t>
    </r>
    <r>
      <rPr>
        <b/>
        <sz val="9"/>
        <color rgb="FF6E706F"/>
        <rFont val="Noto Sans CJK SC"/>
        <family val="2"/>
      </rPr>
      <t xml:space="preserve">견적 합계  </t>
    </r>
    <r>
      <rPr>
        <b/>
        <sz val="9"/>
        <color rgb="FF6E706F"/>
        <rFont val="맑은 고딕"/>
        <family val="3"/>
        <charset val="129"/>
      </rPr>
      <t>(</t>
    </r>
    <r>
      <rPr>
        <b/>
        <sz val="9"/>
        <color rgb="FF6E706F"/>
        <rFont val="Noto Sans CJK SC"/>
        <family val="2"/>
      </rPr>
      <t>발주수량 기준 총액</t>
    </r>
    <r>
      <rPr>
        <b/>
        <sz val="9"/>
        <color rgb="FF6E706F"/>
        <rFont val="맑은 고딕"/>
        <family val="3"/>
        <charset val="129"/>
      </rPr>
      <t>)</t>
    </r>
  </si>
  <si>
    <r>
      <rPr>
        <sz val="9"/>
        <color rgb="FF3D3F3E"/>
        <rFont val="맑은 고딕"/>
        <family val="3"/>
        <charset val="129"/>
      </rPr>
      <t xml:space="preserve">· </t>
    </r>
    <r>
      <rPr>
        <sz val="9"/>
        <color rgb="FF3D3F3E"/>
        <rFont val="Noto Sans CJK SC"/>
        <family val="2"/>
      </rPr>
      <t xml:space="preserve">공급단가 </t>
    </r>
    <r>
      <rPr>
        <sz val="9"/>
        <color rgb="FF3D3F3E"/>
        <rFont val="맑은 고딕"/>
        <family val="3"/>
        <charset val="129"/>
      </rPr>
      <t>3,800</t>
    </r>
    <r>
      <rPr>
        <sz val="9"/>
        <color rgb="FF3D3F3E"/>
        <rFont val="Noto Sans CJK SC"/>
        <family val="2"/>
      </rPr>
      <t xml:space="preserve">원 </t>
    </r>
    <r>
      <rPr>
        <sz val="9"/>
        <color rgb="FF3D3F3E"/>
        <rFont val="맑은 고딕"/>
        <family val="3"/>
        <charset val="129"/>
      </rPr>
      <t xml:space="preserve">/ set (VAT </t>
    </r>
    <r>
      <rPr>
        <sz val="9"/>
        <color rgb="FF3D3F3E"/>
        <rFont val="Noto Sans CJK SC"/>
        <family val="2"/>
      </rPr>
      <t>별도</t>
    </r>
    <r>
      <rPr>
        <sz val="9"/>
        <color rgb="FF3D3F3E"/>
        <rFont val="맑은 고딕"/>
        <family val="3"/>
        <charset val="129"/>
      </rPr>
      <t xml:space="preserve">) · </t>
    </r>
    <r>
      <rPr>
        <sz val="9"/>
        <color rgb="FF3D3F3E"/>
        <rFont val="Noto Sans CJK SC"/>
        <family val="2"/>
      </rPr>
      <t>물류</t>
    </r>
    <r>
      <rPr>
        <sz val="9"/>
        <color rgb="FF3D3F3E"/>
        <rFont val="맑은 고딕"/>
        <family val="3"/>
        <charset val="129"/>
      </rPr>
      <t>(</t>
    </r>
    <r>
      <rPr>
        <sz val="9"/>
        <color rgb="FF3D3F3E"/>
        <rFont val="Noto Sans CJK SC"/>
        <family val="2"/>
      </rPr>
      <t>배송</t>
    </r>
    <r>
      <rPr>
        <sz val="9"/>
        <color rgb="FF3D3F3E"/>
        <rFont val="맑은 고딕"/>
        <family val="3"/>
        <charset val="129"/>
      </rPr>
      <t>)</t>
    </r>
    <r>
      <rPr>
        <sz val="9"/>
        <color rgb="FF3D3F3E"/>
        <rFont val="Noto Sans CJK SC"/>
        <family val="2"/>
      </rPr>
      <t xml:space="preserve">비 별도
</t>
    </r>
    <r>
      <rPr>
        <sz val="9"/>
        <color rgb="FF3D3F3E"/>
        <rFont val="맑은 고딕"/>
        <family val="3"/>
        <charset val="129"/>
      </rPr>
      <t xml:space="preserve">· </t>
    </r>
    <r>
      <rPr>
        <sz val="9"/>
        <color rgb="FF3D3F3E"/>
        <rFont val="Noto Sans CJK SC"/>
        <family val="2"/>
      </rPr>
      <t xml:space="preserve">원재료명 및 함량 </t>
    </r>
    <r>
      <rPr>
        <sz val="9"/>
        <color rgb="FF3D3F3E"/>
        <rFont val="맑은 고딕"/>
        <family val="3"/>
        <charset val="129"/>
      </rPr>
      <t xml:space="preserve">: </t>
    </r>
    <r>
      <rPr>
        <sz val="9"/>
        <color rgb="FF3D3F3E"/>
        <rFont val="Noto Sans CJK SC"/>
        <family val="2"/>
      </rPr>
      <t xml:space="preserve">양배추추출분말 </t>
    </r>
    <r>
      <rPr>
        <sz val="9"/>
        <color rgb="FF3D3F3E"/>
        <rFont val="맑은 고딕"/>
        <family val="3"/>
        <charset val="129"/>
      </rPr>
      <t xml:space="preserve">99%, </t>
    </r>
    <r>
      <rPr>
        <sz val="9"/>
        <color rgb="FF3D3F3E"/>
        <rFont val="Noto Sans CJK SC"/>
        <family val="2"/>
      </rPr>
      <t>이산화규소</t>
    </r>
    <r>
      <rPr>
        <sz val="9"/>
        <color rgb="FF3D3F3E"/>
        <rFont val="맑은 고딕"/>
        <family val="3"/>
        <charset val="129"/>
      </rPr>
      <t xml:space="preserve">, </t>
    </r>
    <r>
      <rPr>
        <sz val="9"/>
        <color rgb="FF3D3F3E"/>
        <rFont val="Noto Sans CJK SC"/>
        <family val="2"/>
      </rPr>
      <t xml:space="preserve">스테아린산마그네슘
</t>
    </r>
    <r>
      <rPr>
        <sz val="9"/>
        <color rgb="FF3D3F3E"/>
        <rFont val="맑은 고딕"/>
        <family val="3"/>
        <charset val="129"/>
      </rPr>
      <t xml:space="preserve">· </t>
    </r>
    <r>
      <rPr>
        <sz val="9"/>
        <color rgb="FF3D3F3E"/>
        <rFont val="Noto Sans CJK SC"/>
        <family val="2"/>
      </rPr>
      <t xml:space="preserve">용기 </t>
    </r>
    <r>
      <rPr>
        <sz val="9"/>
        <color rgb="FF3D3F3E"/>
        <rFont val="맑은 고딕"/>
        <family val="3"/>
        <charset val="129"/>
      </rPr>
      <t xml:space="preserve">: 100ml · </t>
    </r>
    <r>
      <rPr>
        <sz val="9"/>
        <color rgb="FF3D3F3E"/>
        <rFont val="Noto Sans CJK SC"/>
        <family val="2"/>
      </rPr>
      <t>식품유형 과</t>
    </r>
    <r>
      <rPr>
        <sz val="9"/>
        <color rgb="FF3D3F3E"/>
        <rFont val="맑은 고딕"/>
        <family val="3"/>
        <charset val="129"/>
      </rPr>
      <t>·</t>
    </r>
    <r>
      <rPr>
        <sz val="9"/>
        <color rgb="FF3D3F3E"/>
        <rFont val="Noto Sans CJK SC"/>
        <family val="2"/>
      </rPr>
      <t xml:space="preserve">채가공품
</t>
    </r>
    <r>
      <rPr>
        <sz val="9"/>
        <color rgb="FF3D3F3E"/>
        <rFont val="맑은 고딕"/>
        <family val="3"/>
        <charset val="129"/>
      </rPr>
      <t xml:space="preserve">· </t>
    </r>
    <r>
      <rPr>
        <sz val="9"/>
        <color rgb="FF3D3F3E"/>
        <rFont val="Noto Sans CJK SC"/>
        <family val="2"/>
      </rPr>
      <t xml:space="preserve">가공비는 로트 총액 기준으로 발주수량에 따라 </t>
    </r>
    <r>
      <rPr>
        <sz val="9"/>
        <color rgb="FF3D3F3E"/>
        <rFont val="맑은 고딕"/>
        <family val="3"/>
        <charset val="129"/>
      </rPr>
      <t>set</t>
    </r>
    <r>
      <rPr>
        <sz val="9"/>
        <color rgb="FF3D3F3E"/>
        <rFont val="Noto Sans CJK SC"/>
        <family val="2"/>
      </rPr>
      <t xml:space="preserve">당 단가가 달라짐
</t>
    </r>
    <r>
      <rPr>
        <sz val="9"/>
        <color rgb="FF3D3F3E"/>
        <rFont val="맑은 고딕"/>
        <family val="3"/>
        <charset val="129"/>
      </rPr>
      <t xml:space="preserve">· </t>
    </r>
    <r>
      <rPr>
        <sz val="9"/>
        <color rgb="FF3D3F3E"/>
        <rFont val="Noto Sans CJK SC"/>
        <family val="2"/>
      </rPr>
      <t>초도비용</t>
    </r>
    <r>
      <rPr>
        <sz val="9"/>
        <color rgb="FF3D3F3E"/>
        <rFont val="맑은 고딕"/>
        <family val="3"/>
        <charset val="129"/>
      </rPr>
      <t>(</t>
    </r>
    <r>
      <rPr>
        <sz val="9"/>
        <color rgb="FF3D3F3E"/>
        <rFont val="Noto Sans CJK SC"/>
        <family val="2"/>
      </rPr>
      <t>동판</t>
    </r>
    <r>
      <rPr>
        <sz val="9"/>
        <color rgb="FF3D3F3E"/>
        <rFont val="맑은 고딕"/>
        <family val="3"/>
        <charset val="129"/>
      </rPr>
      <t xml:space="preserve">, </t>
    </r>
    <r>
      <rPr>
        <sz val="9"/>
        <color rgb="FF3D3F3E"/>
        <rFont val="Noto Sans CJK SC"/>
        <family val="2"/>
      </rPr>
      <t>기준규격</t>
    </r>
    <r>
      <rPr>
        <sz val="9"/>
        <color rgb="FF3D3F3E"/>
        <rFont val="맑은 고딕"/>
        <family val="3"/>
        <charset val="129"/>
      </rPr>
      <t xml:space="preserve">, </t>
    </r>
    <r>
      <rPr>
        <sz val="9"/>
        <color rgb="FF3D3F3E"/>
        <rFont val="Noto Sans CJK SC"/>
        <family val="2"/>
      </rPr>
      <t>영양성분 등</t>
    </r>
    <r>
      <rPr>
        <sz val="9"/>
        <color rgb="FF3D3F3E"/>
        <rFont val="맑은 고딕"/>
        <family val="3"/>
        <charset val="129"/>
      </rPr>
      <t xml:space="preserve">) </t>
    </r>
    <r>
      <rPr>
        <sz val="9"/>
        <color rgb="FF3D3F3E"/>
        <rFont val="Noto Sans CJK SC"/>
        <family val="2"/>
      </rPr>
      <t xml:space="preserve">별도 </t>
    </r>
    <r>
      <rPr>
        <sz val="9"/>
        <color rgb="FF3D3F3E"/>
        <rFont val="맑은 고딕"/>
        <family val="3"/>
        <charset val="129"/>
      </rPr>
      <t xml:space="preserve">· </t>
    </r>
    <r>
      <rPr>
        <sz val="9"/>
        <color rgb="FF3D3F3E"/>
        <rFont val="Noto Sans CJK SC"/>
        <family val="2"/>
      </rPr>
      <t xml:space="preserve">본 견적은 발행일로부터 </t>
    </r>
    <r>
      <rPr>
        <sz val="9"/>
        <color rgb="FF3D3F3E"/>
        <rFont val="맑은 고딕"/>
        <family val="3"/>
        <charset val="129"/>
      </rPr>
      <t>30</t>
    </r>
    <r>
      <rPr>
        <sz val="9"/>
        <color rgb="FF3D3F3E"/>
        <rFont val="Noto Sans CJK SC"/>
        <family val="2"/>
      </rPr>
      <t>일간 유효</t>
    </r>
  </si>
  <si>
    <t>구 분</t>
  </si>
  <si>
    <t>금액(원)</t>
  </si>
  <si>
    <r>
      <rPr>
        <b/>
        <sz val="9"/>
        <color rgb="FF191919"/>
        <rFont val="맑은 고딕"/>
        <family val="3"/>
        <charset val="129"/>
      </rPr>
      <t xml:space="preserve">1. </t>
    </r>
    <r>
      <rPr>
        <b/>
        <sz val="9"/>
        <color rgb="FF191919"/>
        <rFont val="Noto Sans CJK SC"/>
        <family val="2"/>
      </rPr>
      <t>원재료비</t>
    </r>
  </si>
  <si>
    <r>
      <rPr>
        <b/>
        <sz val="9"/>
        <color rgb="FF191919"/>
        <rFont val="맑은 고딕"/>
        <family val="3"/>
        <charset val="129"/>
      </rPr>
      <t xml:space="preserve">2. </t>
    </r>
    <r>
      <rPr>
        <b/>
        <sz val="9"/>
        <color rgb="FF191919"/>
        <rFont val="Noto Sans CJK SC"/>
        <family val="2"/>
      </rPr>
      <t>부재료비</t>
    </r>
  </si>
  <si>
    <r>
      <rPr>
        <b/>
        <sz val="9"/>
        <color rgb="FF191919"/>
        <rFont val="맑은 고딕"/>
        <family val="3"/>
        <charset val="129"/>
      </rPr>
      <t xml:space="preserve">3. </t>
    </r>
    <r>
      <rPr>
        <b/>
        <sz val="9"/>
        <color rgb="FF191919"/>
        <rFont val="Noto Sans CJK SC"/>
        <family val="2"/>
      </rPr>
      <t xml:space="preserve">가공비 </t>
    </r>
    <r>
      <rPr>
        <b/>
        <sz val="9"/>
        <color rgb="FF191919"/>
        <rFont val="맑은 고딕"/>
        <family val="3"/>
        <charset val="129"/>
      </rPr>
      <t>(</t>
    </r>
    <r>
      <rPr>
        <b/>
        <sz val="9"/>
        <color rgb="FF191919"/>
        <rFont val="Noto Sans CJK SC"/>
        <family val="2"/>
      </rPr>
      <t>인건비</t>
    </r>
    <r>
      <rPr>
        <b/>
        <sz val="9"/>
        <color rgb="FF191919"/>
        <rFont val="맑은 고딕"/>
        <family val="3"/>
        <charset val="129"/>
      </rPr>
      <t>)</t>
    </r>
  </si>
  <si>
    <r>
      <rPr>
        <b/>
        <sz val="9"/>
        <color rgb="FF191919"/>
        <rFont val="맑은 고딕"/>
        <family val="3"/>
        <charset val="129"/>
      </rPr>
      <t xml:space="preserve">4. </t>
    </r>
    <r>
      <rPr>
        <b/>
        <sz val="9"/>
        <color rgb="FF191919"/>
        <rFont val="Noto Sans CJK SC"/>
        <family val="2"/>
      </rPr>
      <t>제조원가</t>
    </r>
  </si>
  <si>
    <r>
      <rPr>
        <b/>
        <sz val="9"/>
        <color rgb="FF191919"/>
        <rFont val="맑은 고딕"/>
        <family val="3"/>
        <charset val="129"/>
      </rPr>
      <t xml:space="preserve">5. </t>
    </r>
    <r>
      <rPr>
        <b/>
        <sz val="9"/>
        <color rgb="FF191919"/>
        <rFont val="Noto Sans CJK SC"/>
        <family val="2"/>
      </rPr>
      <t>일반관리비 및 이윤</t>
    </r>
  </si>
  <si>
    <t>SEORAE BIO</t>
  </si>
  <si>
    <t>단가 마스터</t>
  </si>
  <si>
    <t>단가는 여기서만 관리합니다. 이 표를 고치면 견적서 단가가 전부 자동으로 바뀝니다.</t>
  </si>
  <si>
    <t>품 목 명</t>
  </si>
  <si>
    <t>규 격</t>
  </si>
  <si>
    <t>패킹/최소단위</t>
  </si>
  <si>
    <t>매입단가</t>
  </si>
  <si>
    <t>최소단위 금액</t>
  </si>
  <si>
    <r>
      <rPr>
        <b/>
        <sz val="9"/>
        <color rgb="FFFFFFFF"/>
        <rFont val="맑은 고딕"/>
        <family val="3"/>
        <charset val="129"/>
      </rPr>
      <t>set</t>
    </r>
    <r>
      <rPr>
        <b/>
        <sz val="9"/>
        <color rgb="FFFFFFFF"/>
        <rFont val="Noto Sans CJK SC"/>
        <family val="2"/>
      </rPr>
      <t>당 소요</t>
    </r>
  </si>
  <si>
    <t>최종 수정일</t>
  </si>
  <si>
    <t>원료</t>
  </si>
  <si>
    <t>분말</t>
  </si>
  <si>
    <r>
      <rPr>
        <sz val="9"/>
        <color rgb="FF808080"/>
        <rFont val="맑은 고딕"/>
        <family val="3"/>
        <charset val="129"/>
      </rPr>
      <t xml:space="preserve">20kg </t>
    </r>
    <r>
      <rPr>
        <sz val="9"/>
        <color rgb="FF808080"/>
        <rFont val="Noto Sans CJK SC"/>
        <family val="2"/>
      </rPr>
      <t>패킹</t>
    </r>
  </si>
  <si>
    <r>
      <rPr>
        <sz val="9"/>
        <color rgb="FF808080"/>
        <rFont val="맑은 고딕"/>
        <family val="3"/>
        <charset val="129"/>
      </rPr>
      <t xml:space="preserve">15kg </t>
    </r>
    <r>
      <rPr>
        <sz val="9"/>
        <color rgb="FF808080"/>
        <rFont val="Noto Sans CJK SC"/>
        <family val="2"/>
      </rPr>
      <t>패킹</t>
    </r>
  </si>
  <si>
    <r>
      <rPr>
        <sz val="9"/>
        <color rgb="FF808080"/>
        <rFont val="맑은 고딕"/>
        <family val="3"/>
        <charset val="129"/>
      </rPr>
      <t xml:space="preserve">17kg </t>
    </r>
    <r>
      <rPr>
        <sz val="9"/>
        <color rgb="FF808080"/>
        <rFont val="Noto Sans CJK SC"/>
        <family val="2"/>
      </rPr>
      <t>패킹</t>
    </r>
  </si>
  <si>
    <t>부자재</t>
  </si>
  <si>
    <r>
      <rPr>
        <sz val="9"/>
        <rFont val="맑은 고딕"/>
        <family val="3"/>
        <charset val="129"/>
      </rPr>
      <t xml:space="preserve">100ml </t>
    </r>
    <r>
      <rPr>
        <sz val="9"/>
        <rFont val="Noto Sans CJK SC"/>
        <family val="2"/>
      </rPr>
      <t>병</t>
    </r>
    <r>
      <rPr>
        <sz val="9"/>
        <rFont val="맑은 고딕"/>
        <family val="3"/>
        <charset val="129"/>
      </rPr>
      <t>+</t>
    </r>
    <r>
      <rPr>
        <sz val="9"/>
        <rFont val="Noto Sans CJK SC"/>
        <family val="2"/>
      </rPr>
      <t>캡</t>
    </r>
  </si>
  <si>
    <t>MOQ 확인 필요</t>
  </si>
  <si>
    <r>
      <rPr>
        <sz val="9"/>
        <rFont val="맑은 고딕"/>
        <family val="3"/>
        <charset val="129"/>
      </rPr>
      <t>1,000</t>
    </r>
    <r>
      <rPr>
        <sz val="9"/>
        <rFont val="Noto Sans CJK SC"/>
        <family val="2"/>
      </rPr>
      <t>장 단위</t>
    </r>
  </si>
  <si>
    <r>
      <rPr>
        <sz val="9"/>
        <color rgb="FF808080"/>
        <rFont val="맑은 고딕"/>
        <family val="3"/>
        <charset val="129"/>
      </rPr>
      <t>1,000</t>
    </r>
    <r>
      <rPr>
        <sz val="9"/>
        <color rgb="FF808080"/>
        <rFont val="Noto Sans CJK SC"/>
        <family val="2"/>
      </rPr>
      <t xml:space="preserve">장 </t>
    </r>
    <r>
      <rPr>
        <sz val="9"/>
        <color rgb="FF808080"/>
        <rFont val="맑은 고딕"/>
        <family val="3"/>
        <charset val="129"/>
      </rPr>
      <t>240,000</t>
    </r>
    <r>
      <rPr>
        <sz val="9"/>
        <color rgb="FF808080"/>
        <rFont val="Noto Sans CJK SC"/>
        <family val="2"/>
      </rPr>
      <t>원</t>
    </r>
  </si>
  <si>
    <r>
      <rPr>
        <sz val="9"/>
        <rFont val="맑은 고딕"/>
        <family val="3"/>
        <charset val="129"/>
      </rPr>
      <t>12,000</t>
    </r>
    <r>
      <rPr>
        <sz val="9"/>
        <rFont val="Noto Sans CJK SC"/>
        <family val="2"/>
      </rPr>
      <t>개 단위</t>
    </r>
  </si>
  <si>
    <t>잔여 재고 부담 큼</t>
  </si>
  <si>
    <r>
      <rPr>
        <sz val="9"/>
        <rFont val="맑은 고딕"/>
        <family val="3"/>
        <charset val="129"/>
      </rPr>
      <t>PE</t>
    </r>
    <r>
      <rPr>
        <sz val="9"/>
        <rFont val="Noto Sans CJK SC"/>
        <family val="2"/>
      </rPr>
      <t>완충비닐</t>
    </r>
  </si>
  <si>
    <t>0.03×20cm×457m</t>
  </si>
  <si>
    <r>
      <rPr>
        <sz val="9"/>
        <color rgb="FF808080"/>
        <rFont val="맑은 고딕"/>
        <family val="3"/>
        <charset val="129"/>
      </rPr>
      <t>1</t>
    </r>
    <r>
      <rPr>
        <sz val="9"/>
        <color rgb="FF808080"/>
        <rFont val="Noto Sans CJK SC"/>
        <family val="2"/>
      </rPr>
      <t xml:space="preserve">롤 </t>
    </r>
    <r>
      <rPr>
        <sz val="9"/>
        <color rgb="FF808080"/>
        <rFont val="맑은 고딕"/>
        <family val="3"/>
        <charset val="129"/>
      </rPr>
      <t>19,000</t>
    </r>
    <r>
      <rPr>
        <sz val="9"/>
        <color rgb="FF808080"/>
        <rFont val="Noto Sans CJK SC"/>
        <family val="2"/>
      </rPr>
      <t xml:space="preserve">원 </t>
    </r>
    <r>
      <rPr>
        <sz val="9"/>
        <color rgb="FF808080"/>
        <rFont val="맑은 고딕"/>
        <family val="3"/>
        <charset val="129"/>
      </rPr>
      <t>/ 20×16cm</t>
    </r>
  </si>
  <si>
    <r>
      <rPr>
        <sz val="9"/>
        <rFont val="맑은 고딕"/>
        <family val="3"/>
        <charset val="129"/>
      </rPr>
      <t>50</t>
    </r>
    <r>
      <rPr>
        <sz val="9"/>
        <rFont val="Noto Sans CJK SC"/>
        <family val="2"/>
      </rPr>
      <t>입</t>
    </r>
  </si>
  <si>
    <r>
      <rPr>
        <sz val="9"/>
        <color rgb="FF808080"/>
        <rFont val="맑은 고딕"/>
        <family val="3"/>
        <charset val="129"/>
      </rPr>
      <t xml:space="preserve">50 set / </t>
    </r>
    <r>
      <rPr>
        <sz val="9"/>
        <color rgb="FF808080"/>
        <rFont val="Noto Sans CJK SC"/>
        <family val="2"/>
      </rPr>
      <t>카톤</t>
    </r>
  </si>
  <si>
    <t>입력칸 (노란색)</t>
  </si>
  <si>
    <t>품목명 · 규격 · 패킹/최소단위 · 매입단가를 여기서 수정하세요. 견적서·원가분석이 전부 자동 반영됩니다.</t>
  </si>
  <si>
    <t>원료는 kg 단위 패킹, 부자재는 한 번에 사야 하는 최소 수량 (set 환산)</t>
  </si>
  <si>
    <t>그 최소단위를 한 번 구매할 때 나가는 실제 금액 (원가분석에 사용)</t>
  </si>
  <si>
    <r>
      <rPr>
        <b/>
        <sz val="9"/>
        <rFont val="맑은 고딕"/>
        <family val="3"/>
        <charset val="129"/>
      </rPr>
      <t>set</t>
    </r>
    <r>
      <rPr>
        <b/>
        <sz val="9"/>
        <rFont val="Noto Sans CJK SC"/>
        <family val="2"/>
      </rPr>
      <t>당 소요</t>
    </r>
  </si>
  <si>
    <r>
      <rPr>
        <sz val="9"/>
        <color rgb="FF808080"/>
        <rFont val="맑은 고딕"/>
        <family val="3"/>
        <charset val="129"/>
      </rPr>
      <t xml:space="preserve">1 set </t>
    </r>
    <r>
      <rPr>
        <sz val="9"/>
        <color rgb="FF808080"/>
        <rFont val="Noto Sans CJK SC"/>
        <family val="2"/>
      </rPr>
      <t>만들 때 들어가는 개수</t>
    </r>
    <r>
      <rPr>
        <sz val="9"/>
        <color rgb="FF808080"/>
        <rFont val="맑은 고딕"/>
        <family val="3"/>
        <charset val="129"/>
      </rPr>
      <t xml:space="preserve">. </t>
    </r>
    <r>
      <rPr>
        <sz val="9"/>
        <color rgb="FF808080"/>
        <rFont val="Noto Sans CJK SC"/>
        <family val="2"/>
      </rPr>
      <t xml:space="preserve">카톤은 </t>
    </r>
    <r>
      <rPr>
        <sz val="9"/>
        <color rgb="FF808080"/>
        <rFont val="맑은 고딕"/>
        <family val="3"/>
        <charset val="129"/>
      </rPr>
      <t>50</t>
    </r>
    <r>
      <rPr>
        <sz val="9"/>
        <color rgb="FF808080"/>
        <rFont val="Noto Sans CJK SC"/>
        <family val="2"/>
      </rPr>
      <t xml:space="preserve">입이라 </t>
    </r>
    <r>
      <rPr>
        <sz val="9"/>
        <color rgb="FF808080"/>
        <rFont val="맑은 고딕"/>
        <family val="3"/>
        <charset val="129"/>
      </rPr>
      <t>1/50</t>
    </r>
  </si>
  <si>
    <t>원가 분석 · 3,800원 역산</t>
  </si>
  <si>
    <t>공급단가 3,800원 / set 기준. 원료·부자재는 인상율 없이 매입단가 그대로, 가공비는 로트 총액입니다.</t>
  </si>
  <si>
    <t>단가는 [단가마스터] 시트에서만 수정하세요.</t>
  </si>
  <si>
    <t>① 원료 실구매 원가 (패킹단위 올림)</t>
  </si>
  <si>
    <t>원 료</t>
  </si>
  <si>
    <t>패킹(kg)</t>
  </si>
  <si>
    <t>매입단가/kg</t>
  </si>
  <si>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참고</t>
    </r>
    <r>
      <rPr>
        <sz val="9"/>
        <rFont val="맑은 고딕"/>
        <family val="3"/>
        <charset val="129"/>
      </rPr>
      <t xml:space="preserve">) </t>
    </r>
    <r>
      <rPr>
        <sz val="9"/>
        <rFont val="Noto Sans CJK SC"/>
        <family val="2"/>
      </rPr>
      <t>사용량 기준 이론 원가</t>
    </r>
  </si>
  <si>
    <t>▲ 패킹 올림 추가 부담</t>
  </si>
  <si>
    <t>잔여 원료 이월 가능하면 부담 감소</t>
  </si>
  <si>
    <t>② 부자재 실구매 원가 (최소 발주단위)</t>
  </si>
  <si>
    <t>재 료</t>
  </si>
  <si>
    <t>최소단위(set)</t>
  </si>
  <si>
    <r>
      <rPr>
        <b/>
        <sz val="9"/>
        <color rgb="FFFFFFFF"/>
        <rFont val="맑은 고딕"/>
        <family val="3"/>
        <charset val="129"/>
      </rPr>
      <t>set</t>
    </r>
    <r>
      <rPr>
        <b/>
        <sz val="9"/>
        <color rgb="FFFFFFFF"/>
        <rFont val="Noto Sans CJK SC"/>
        <family val="2"/>
      </rPr>
      <t>당 원가</t>
    </r>
  </si>
  <si>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참고</t>
    </r>
    <r>
      <rPr>
        <sz val="9"/>
        <rFont val="맑은 고딕"/>
        <family val="3"/>
        <charset val="129"/>
      </rPr>
      <t xml:space="preserve">) </t>
    </r>
    <r>
      <rPr>
        <sz val="9"/>
        <rFont val="Noto Sans CJK SC"/>
        <family val="2"/>
      </rPr>
      <t>수량 기준 이론 원가</t>
    </r>
  </si>
  <si>
    <t>▲ 최소 발주 추가 부담</t>
  </si>
  <si>
    <t>실리카겔 12,000개 · 라벨 1,000장 단위</t>
  </si>
  <si>
    <t>③ 가공비 (인건비 포함) — 로트 총액</t>
  </si>
  <si>
    <t>로트 총액</t>
  </si>
  <si>
    <t>가공비 150만원</t>
  </si>
  <si>
    <t>로트 고정이라 수량이 늘수록 set당 가공비는 내려감</t>
  </si>
  <si>
    <t>가공비 200만원</t>
  </si>
  <si>
    <t>④ 공급가 3,800원 기준 손익  —  가공비 150만원</t>
  </si>
  <si>
    <t>실제 총원가 (①+②+150만)</t>
  </si>
  <si>
    <t>공급가 (3,800원 × 수량)</t>
  </si>
  <si>
    <t>손  익</t>
  </si>
  <si>
    <t>마진율</t>
  </si>
  <si>
    <r>
      <rPr>
        <sz val="9"/>
        <rFont val="맑은 고딕"/>
        <family val="3"/>
        <charset val="129"/>
      </rPr>
      <t>set</t>
    </r>
    <r>
      <rPr>
        <sz val="9"/>
        <rFont val="Noto Sans CJK SC"/>
        <family val="2"/>
      </rPr>
      <t>당 제조원가</t>
    </r>
  </si>
  <si>
    <t>⑤ 공급가 3,800원 기준 손익  —  가공비 200만원</t>
  </si>
  <si>
    <t>실제 총원가 (①+②+200만)</t>
  </si>
  <si>
    <t>⑥ 역산 — 3,800원에 맞출 때 쓸 수 있는 가공비 한도</t>
  </si>
  <si>
    <t>가공비 한도 (마진 0 기준)</t>
  </si>
  <si>
    <t>이 금액을 넘으면 적자</t>
  </si>
  <si>
    <t>마진 20% 확보 시 가공비 한도</t>
  </si>
  <si>
    <t>마진 30% 확보 시 가공비 한도</t>
  </si>
  <si>
    <t>서래바이오 제조 견적서 — 사용법</t>
  </si>
  <si>
    <t>내 용</t>
  </si>
  <si>
    <t>입력 — 제품</t>
  </si>
  <si>
    <t>고객사명 B6 / 제품명 C11 / 제품분류 C12 / 제품제형 C13 / 발주수량 C14  ← 발주수량이 인상율을 결정</t>
  </si>
  <si>
    <t>입력 — 사양</t>
  </si>
  <si>
    <t>포장형태 F11 / 내용량(mg) F12 / 포장단위(정) F13 / 섭취량 F14</t>
  </si>
  <si>
    <t>입력 — 원료</t>
  </si>
  <si>
    <t>원료명 B20:B33 · 배합비(%) D20:D33 · 매입단가 L20:L33(인쇄 안 됨) · 패킹단위 K20:K33 · 표시량 I20:I33</t>
  </si>
  <si>
    <t>입력 — 부재료</t>
  </si>
  <si>
    <t>재료명 B38:B42 · 매입단가 L38:L42(인쇄 안 됨) · 수량 F38:F42(=발주수량 연동, 카톤만 ÷50)</t>
  </si>
  <si>
    <t>입력 — 가공비</t>
  </si>
  <si>
    <t>항목명 B47:B51 · 단위/규격 D · 수량 E(=발주수량 자동) · 단가 F → 소계 G52. 견적합계 가공비 = 소계 ÷ 발주수량</t>
  </si>
  <si>
    <t>입력 — 수율</t>
  </si>
  <si>
    <r>
      <rPr>
        <sz val="9.5"/>
        <color rgb="FF191919"/>
        <rFont val="맑은 고딕"/>
        <family val="3"/>
        <charset val="129"/>
      </rPr>
      <t xml:space="preserve">K3 </t>
    </r>
    <r>
      <rPr>
        <sz val="9.5"/>
        <color rgb="FF191919"/>
        <rFont val="Noto Sans CJK SC"/>
        <family val="2"/>
      </rPr>
      <t>수율</t>
    </r>
    <r>
      <rPr>
        <sz val="9.5"/>
        <color rgb="FF191919"/>
        <rFont val="맑은 고딕"/>
        <family val="3"/>
        <charset val="129"/>
      </rPr>
      <t xml:space="preserve">(3%) · K5 </t>
    </r>
    <r>
      <rPr>
        <sz val="9.5"/>
        <color rgb="FF191919"/>
        <rFont val="Noto Sans CJK SC"/>
        <family val="2"/>
      </rPr>
      <t>적용 인상율</t>
    </r>
    <r>
      <rPr>
        <sz val="9.5"/>
        <color rgb="FF191919"/>
        <rFont val="맑은 고딕"/>
        <family val="3"/>
        <charset val="129"/>
      </rPr>
      <t>(</t>
    </r>
    <r>
      <rPr>
        <sz val="9.5"/>
        <color rgb="FF191919"/>
        <rFont val="Noto Sans CJK SC"/>
        <family val="2"/>
      </rPr>
      <t>자동</t>
    </r>
    <r>
      <rPr>
        <sz val="9.5"/>
        <color rgb="FF191919"/>
        <rFont val="맑은 고딕"/>
        <family val="3"/>
        <charset val="129"/>
      </rPr>
      <t xml:space="preserve">) · K7 </t>
    </r>
    <r>
      <rPr>
        <sz val="9.5"/>
        <color rgb="FF191919"/>
        <rFont val="Noto Sans CJK SC"/>
        <family val="2"/>
      </rPr>
      <t xml:space="preserve">인상전 </t>
    </r>
    <r>
      <rPr>
        <sz val="9.5"/>
        <color rgb="FF191919"/>
        <rFont val="맑은 고딕"/>
        <family val="3"/>
        <charset val="129"/>
      </rPr>
      <t>set</t>
    </r>
    <r>
      <rPr>
        <sz val="9.5"/>
        <color rgb="FF191919"/>
        <rFont val="Noto Sans CJK SC"/>
        <family val="2"/>
      </rPr>
      <t>당 원료</t>
    </r>
    <r>
      <rPr>
        <sz val="9.5"/>
        <color rgb="FF191919"/>
        <rFont val="맑은 고딕"/>
        <family val="3"/>
        <charset val="129"/>
      </rPr>
      <t>+</t>
    </r>
    <r>
      <rPr>
        <sz val="9.5"/>
        <color rgb="FF191919"/>
        <rFont val="Noto Sans CJK SC"/>
        <family val="2"/>
      </rPr>
      <t xml:space="preserve">부자재 </t>
    </r>
    <r>
      <rPr>
        <sz val="9.5"/>
        <color rgb="FF191919"/>
        <rFont val="맑은 고딕"/>
        <family val="3"/>
        <charset val="129"/>
      </rPr>
      <t>· K9 set</t>
    </r>
    <r>
      <rPr>
        <sz val="9.5"/>
        <color rgb="FF191919"/>
        <rFont val="Noto Sans CJK SC"/>
        <family val="2"/>
      </rPr>
      <t xml:space="preserve">당 가공비 </t>
    </r>
    <r>
      <rPr>
        <sz val="9.5"/>
        <color rgb="FF191919"/>
        <rFont val="맑은 고딕"/>
        <family val="3"/>
        <charset val="129"/>
      </rPr>
      <t xml:space="preserve">· K56:K58 </t>
    </r>
    <r>
      <rPr>
        <sz val="9.5"/>
        <color rgb="FF191919"/>
        <rFont val="Noto Sans CJK SC"/>
        <family val="2"/>
      </rPr>
      <t xml:space="preserve">구간요율 </t>
    </r>
    <r>
      <rPr>
        <sz val="9.5"/>
        <color rgb="FF191919"/>
        <rFont val="맑은 고딕"/>
        <family val="3"/>
        <charset val="129"/>
      </rPr>
      <t>· L</t>
    </r>
    <r>
      <rPr>
        <sz val="9.5"/>
        <color rgb="FF191919"/>
        <rFont val="Noto Sans CJK SC"/>
        <family val="2"/>
      </rPr>
      <t>열 매입단가</t>
    </r>
    <r>
      <rPr>
        <sz val="9.5"/>
        <color rgb="FF191919"/>
        <rFont val="맑은 고딕"/>
        <family val="3"/>
        <charset val="129"/>
      </rPr>
      <t xml:space="preserve">. </t>
    </r>
    <r>
      <rPr>
        <sz val="9.5"/>
        <color rgb="FF191919"/>
        <rFont val="Noto Sans CJK SC"/>
        <family val="2"/>
      </rPr>
      <t>모두 인쇄영역 밖</t>
    </r>
  </si>
  <si>
    <t>자동 계산</t>
  </si>
  <si>
    <t>단가 F/D열(인상 반영) · 함량 E열 · 금액 G열(단가×수량) · 총사용량 H열 · 최종견적가(총액)</t>
  </si>
  <si>
    <t>확인할 것</t>
  </si>
  <si>
    <t>배합비 합계 D34 가 100 인지 / 패킹 올림 차액(N35) 원가 반영 여부</t>
  </si>
  <si>
    <t>계산식</t>
  </si>
  <si>
    <t>식</t>
  </si>
  <si>
    <t>함량(mg/단위)</t>
  </si>
  <si>
    <t>배합비% × 내용량 ÷ 100</t>
  </si>
  <si>
    <t>총사용량(g) ÷ 1,000 × 단가(원/Kg)     ※ 단가 = 매입단가 × (1+인상율)</t>
  </si>
  <si>
    <t>총사용량(g)</t>
  </si>
  <si>
    <t>함량 × 포장단위 × 발주수량 ÷ 1,000 × (1+수율)</t>
  </si>
  <si>
    <t>제조원가</t>
  </si>
  <si>
    <t>(원재료비 + 부재료비) × 발주수량 + 가공비 소계  = 원재료비 총액 + 부재료비 총액 + 가공비 소계</t>
  </si>
  <si>
    <t>공급단가</t>
  </si>
  <si>
    <t>단가 = 매입단가 × (1 + 인상율).  금액 = 단가 × 수량</t>
  </si>
  <si>
    <t>총 금액</t>
  </si>
  <si>
    <t>공급단가 × 발주수량 = 총금액 (10원 절사)</t>
  </si>
  <si>
    <t>최종 견적가</t>
  </si>
  <si>
    <t>(원료+부자재)×발주수량 + 인건비 → 10원 절사 (VAT 별도, 총액)</t>
  </si>
  <si>
    <t>수량별 단가 추가율</t>
  </si>
  <si>
    <t>추가율 / 공급단가</t>
  </si>
  <si>
    <t>1,000 set</t>
  </si>
  <si>
    <r>
      <rPr>
        <sz val="9.5"/>
        <color rgb="FF191919"/>
        <rFont val="맑은 고딕"/>
        <family val="3"/>
        <charset val="129"/>
      </rPr>
      <t>+15%   (</t>
    </r>
    <r>
      <rPr>
        <sz val="9.5"/>
        <color rgb="FF191919"/>
        <rFont val="Noto Sans CJK SC"/>
        <family val="2"/>
      </rPr>
      <t>원료</t>
    </r>
    <r>
      <rPr>
        <sz val="9.5"/>
        <color rgb="FF191919"/>
        <rFont val="맑은 고딕"/>
        <family val="3"/>
        <charset val="129"/>
      </rPr>
      <t>·</t>
    </r>
    <r>
      <rPr>
        <sz val="9.5"/>
        <color rgb="FF191919"/>
        <rFont val="Noto Sans CJK SC"/>
        <family val="2"/>
      </rPr>
      <t xml:space="preserve">부자재 매입단가 </t>
    </r>
    <r>
      <rPr>
        <sz val="9.5"/>
        <color rgb="FF191919"/>
        <rFont val="맑은 고딕"/>
        <family val="3"/>
        <charset val="129"/>
      </rPr>
      <t xml:space="preserve">× 1.15, </t>
    </r>
    <r>
      <rPr>
        <sz val="9.5"/>
        <color rgb="FF191919"/>
        <rFont val="Noto Sans CJK SC"/>
        <family val="2"/>
      </rPr>
      <t>가공비 제외</t>
    </r>
    <r>
      <rPr>
        <sz val="9.5"/>
        <color rgb="FF191919"/>
        <rFont val="맑은 고딕"/>
        <family val="3"/>
        <charset val="129"/>
      </rPr>
      <t>)</t>
    </r>
  </si>
  <si>
    <t>2,000 set</t>
  </si>
  <si>
    <r>
      <rPr>
        <sz val="9.5"/>
        <color rgb="FF191919"/>
        <rFont val="맑은 고딕"/>
        <family val="3"/>
        <charset val="129"/>
      </rPr>
      <t>+13%   (</t>
    </r>
    <r>
      <rPr>
        <sz val="9.5"/>
        <color rgb="FF191919"/>
        <rFont val="Noto Sans CJK SC"/>
        <family val="2"/>
      </rPr>
      <t>원료</t>
    </r>
    <r>
      <rPr>
        <sz val="9.5"/>
        <color rgb="FF191919"/>
        <rFont val="맑은 고딕"/>
        <family val="3"/>
        <charset val="129"/>
      </rPr>
      <t>·</t>
    </r>
    <r>
      <rPr>
        <sz val="9.5"/>
        <color rgb="FF191919"/>
        <rFont val="Noto Sans CJK SC"/>
        <family val="2"/>
      </rPr>
      <t xml:space="preserve">부자재 매입단가 </t>
    </r>
    <r>
      <rPr>
        <sz val="9.5"/>
        <color rgb="FF191919"/>
        <rFont val="맑은 고딕"/>
        <family val="3"/>
        <charset val="129"/>
      </rPr>
      <t xml:space="preserve">× 1.13, </t>
    </r>
    <r>
      <rPr>
        <sz val="9.5"/>
        <color rgb="FF191919"/>
        <rFont val="Noto Sans CJK SC"/>
        <family val="2"/>
      </rPr>
      <t>가공비 제외</t>
    </r>
    <r>
      <rPr>
        <sz val="9.5"/>
        <color rgb="FF191919"/>
        <rFont val="맑은 고딕"/>
        <family val="3"/>
        <charset val="129"/>
      </rPr>
      <t>)</t>
    </r>
  </si>
  <si>
    <t>3,000 set</t>
  </si>
  <si>
    <r>
      <rPr>
        <sz val="9.5"/>
        <color rgb="FF191919"/>
        <rFont val="맑은 고딕"/>
        <family val="3"/>
        <charset val="129"/>
      </rPr>
      <t>+10%   (</t>
    </r>
    <r>
      <rPr>
        <sz val="9.5"/>
        <color rgb="FF191919"/>
        <rFont val="Noto Sans CJK SC"/>
        <family val="2"/>
      </rPr>
      <t>원료</t>
    </r>
    <r>
      <rPr>
        <sz val="9.5"/>
        <color rgb="FF191919"/>
        <rFont val="맑은 고딕"/>
        <family val="3"/>
        <charset val="129"/>
      </rPr>
      <t>·</t>
    </r>
    <r>
      <rPr>
        <sz val="9.5"/>
        <color rgb="FF191919"/>
        <rFont val="Noto Sans CJK SC"/>
        <family val="2"/>
      </rPr>
      <t xml:space="preserve">부자재 매입단가 </t>
    </r>
    <r>
      <rPr>
        <sz val="9.5"/>
        <color rgb="FF191919"/>
        <rFont val="맑은 고딕"/>
        <family val="3"/>
        <charset val="129"/>
      </rPr>
      <t xml:space="preserve">× 1.10, </t>
    </r>
    <r>
      <rPr>
        <sz val="9.5"/>
        <color rgb="FF191919"/>
        <rFont val="Noto Sans CJK SC"/>
        <family val="2"/>
      </rPr>
      <t>가공비 제외</t>
    </r>
    <r>
      <rPr>
        <sz val="9.5"/>
        <color rgb="FF191919"/>
        <rFont val="맑은 고딕"/>
        <family val="3"/>
        <charset val="129"/>
      </rPr>
      <t>)</t>
    </r>
  </si>
  <si>
    <t>동작</t>
  </si>
  <si>
    <t>발주수량 C14 를 넣으면 K5 가 구간 요율을 자동 판정 → 원료 단가 F20:F33 과 부자재 단가 D38:D42 에 직접 곱해짐 → 금액·합계·최종 견적가까지 자동. C14 가 비면 인상율 0%. 구간 밖이면 그 이하 최대 구간(1,000 미만이면 15%). 구간 B56:B58 · 요율 K56:K58</t>
  </si>
  <si>
    <t>가공비 — 확인 필요</t>
  </si>
  <si>
    <t>항 목</t>
  </si>
  <si>
    <t>현재 상태</t>
  </si>
  <si>
    <t>공정별 수량(=발주수량)×단가로 소계, 발주수량으로 나눠 1 set 가공비 (=1,177원 정액)</t>
  </si>
  <si>
    <t>참고 견적 실측</t>
  </si>
  <si>
    <t>참고 견적 1 set 1,177원을 공정별 역산 배분 (180/620/250/127) — 제조사 단가표 필요</t>
  </si>
  <si>
    <t>받아야 할 것</t>
  </si>
  <si>
    <t>제조사 가공비 단가표 — ① 기준 단위(정당/병당/로트당) ② 최소 생산 로트 ③ 로트별 단가 차이 (로트 커지면 가공비 자체가 내려가는지)</t>
  </si>
  <si>
    <t>주의</t>
  </si>
  <si>
    <t>이 값 없이 뽑은 견적은 제조원가가 과소 계상됨. 제조사 확인 전에는 확정 견적 금지</t>
  </si>
  <si>
    <t>검증 기록</t>
  </si>
  <si>
    <t>값</t>
  </si>
  <si>
    <t>테스트 조건</t>
  </si>
  <si>
    <t>내용량 700mg · 60정 · 배합비 97/1.5/1.5 (가배합비)</t>
  </si>
  <si>
    <t>원재료비 / 부재료비</t>
  </si>
  <si>
    <t>1,000set 731.4 / 600.4   2,000set 718.7 / 589.7   3,000set 699.6 / 574.6</t>
  </si>
  <si>
    <t>1,000set 2,508.8   2,000set 2,485.3   3,000set 2,451.2</t>
  </si>
  <si>
    <t>구간 단가</t>
  </si>
  <si>
    <t>1,000set 2,500 / 2,000set 2,480 / 3,000set 2,450</t>
  </si>
  <si>
    <t>최종 견적가 · 총 금액</t>
  </si>
  <si>
    <r>
      <rPr>
        <sz val="9.5"/>
        <color rgb="FF191919"/>
        <rFont val="맑은 고딕"/>
        <family val="3"/>
        <charset val="129"/>
      </rPr>
      <t xml:space="preserve">C14=1,000 → </t>
    </r>
    <r>
      <rPr>
        <sz val="9.5"/>
        <color rgb="FF191919"/>
        <rFont val="Noto Sans CJK SC"/>
        <family val="2"/>
      </rPr>
      <t xml:space="preserve">총액 </t>
    </r>
    <r>
      <rPr>
        <sz val="9.5"/>
        <color rgb="FF191919"/>
        <rFont val="맑은 고딕"/>
        <family val="3"/>
        <charset val="129"/>
      </rPr>
      <t>2,508,700</t>
    </r>
    <r>
      <rPr>
        <sz val="9.5"/>
        <color rgb="FF191919"/>
        <rFont val="Noto Sans CJK SC"/>
        <family val="2"/>
      </rPr>
      <t xml:space="preserve">원 </t>
    </r>
    <r>
      <rPr>
        <sz val="9.5"/>
        <color rgb="FF191919"/>
        <rFont val="맑은 고딕"/>
        <family val="3"/>
        <charset val="129"/>
      </rPr>
      <t>(set</t>
    </r>
    <r>
      <rPr>
        <sz val="9.5"/>
        <color rgb="FF191919"/>
        <rFont val="Noto Sans CJK SC"/>
        <family val="2"/>
      </rPr>
      <t xml:space="preserve">당 </t>
    </r>
    <r>
      <rPr>
        <sz val="9.5"/>
        <color rgb="FF191919"/>
        <rFont val="맑은 고딕"/>
        <family val="3"/>
        <charset val="129"/>
      </rPr>
      <t>2,508.7</t>
    </r>
    <r>
      <rPr>
        <sz val="9.5"/>
        <color rgb="FF191919"/>
        <rFont val="Noto Sans CJK SC"/>
        <family val="2"/>
      </rPr>
      <t>원</t>
    </r>
    <r>
      <rPr>
        <sz val="9.5"/>
        <color rgb="FF191919"/>
        <rFont val="맑은 고딕"/>
        <family val="3"/>
        <charset val="129"/>
      </rPr>
      <t>)</t>
    </r>
  </si>
  <si>
    <t>원본 시트 대조</t>
  </si>
  <si>
    <t>인상율을 금액→단가로 이동, 단가×수량=금액 검산 일치 (2026-08-30)</t>
  </si>
  <si>
    <r>
      <t>FOODING LAB</t>
    </r>
    <r>
      <rPr>
        <b/>
        <sz val="12"/>
        <color rgb="FF1A7652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</si>
</sst>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%"/>
    <numFmt numFmtId="177" formatCode="#,##0.0"/>
    <numFmt numFmtId="178" formatCode="#,##0&quot; mg&quot;"/>
    <numFmt numFmtId="179" formatCode="#,##0&quot; 정&quot;"/>
    <numFmt numFmtId="180" formatCode="#,##0&quot; set&quot;"/>
    <numFmt numFmtId="181" formatCode="#,##0&quot;원&quot;"/>
    <numFmt numFmtId="182" formatCode="#,##0.000"/>
    <numFmt numFmtId="183" formatCode="yyyy\-mm\-dd"/>
  </numFmts>
  <fonts count="49">
    <font>
      <sz val="11"/>
      <color theme="1"/>
      <name val="Calibri"/>
      <family val="2"/>
      <charset val="1"/>
    </font>
    <font>
      <b/>
      <sz val="22"/>
      <color rgb="FF191919"/>
      <name val="Noto Sans CJK SC"/>
      <family val="2"/>
      <charset val="1"/>
    </font>
    <font>
      <b/>
      <sz val="9"/>
      <color rgb="FF191919"/>
      <name val="Noto Sans CJK SC"/>
      <family val="2"/>
      <charset val="1"/>
    </font>
    <font>
      <sz val="9"/>
      <color rgb="FF191919"/>
      <name val="맑은 고딕"/>
      <family val="3"/>
      <charset val="129"/>
    </font>
    <font>
      <sz val="10"/>
      <color rgb="FF191919"/>
      <name val="맑은 고딕"/>
      <family val="3"/>
      <charset val="129"/>
    </font>
    <font>
      <sz val="8"/>
      <color rgb="FF191919"/>
      <name val="맑은 고딕"/>
      <family val="3"/>
      <charset val="129"/>
    </font>
    <font>
      <sz val="11"/>
      <color theme="1"/>
      <name val="Noto Sans CJK SC"/>
      <family val="2"/>
      <charset val="1"/>
    </font>
    <font>
      <sz val="8.5"/>
      <color rgb="FF191919"/>
      <name val="Noto Sans CJK SC"/>
      <family val="2"/>
      <charset val="1"/>
    </font>
    <font>
      <sz val="9"/>
      <color rgb="FF191919"/>
      <name val="Noto Sans CJK SC"/>
      <family val="2"/>
      <charset val="1"/>
    </font>
    <font>
      <b/>
      <sz val="12"/>
      <color rgb="FF191919"/>
      <name val="Noto Sans CJK SC"/>
      <family val="2"/>
      <charset val="1"/>
    </font>
    <font>
      <sz val="9.5"/>
      <color rgb="FF6E706F"/>
      <name val="Noto Sans CJK SC"/>
      <family val="2"/>
      <charset val="1"/>
    </font>
    <font>
      <sz val="8"/>
      <color rgb="FF191919"/>
      <name val="Noto Sans CJK SC"/>
      <family val="2"/>
      <charset val="1"/>
    </font>
    <font>
      <sz val="9.5"/>
      <color rgb="FF191919"/>
      <name val="Noto Sans CJK SC"/>
      <family val="2"/>
      <charset val="1"/>
    </font>
    <font>
      <sz val="9.5"/>
      <color rgb="FF191919"/>
      <name val="맑은 고딕"/>
      <family val="3"/>
      <charset val="129"/>
    </font>
    <font>
      <sz val="9.5"/>
      <color rgb="FF191919"/>
      <name val="Noto Sans CJK SC"/>
      <family val="2"/>
    </font>
    <font>
      <sz val="9"/>
      <color rgb="FF0000FF"/>
      <name val="맑은 고딕"/>
      <family val="3"/>
      <charset val="129"/>
    </font>
    <font>
      <b/>
      <sz val="10"/>
      <color rgb="FFFFFFFF"/>
      <name val="Noto Sans CJK SC"/>
      <family val="2"/>
      <charset val="1"/>
    </font>
    <font>
      <b/>
      <sz val="15"/>
      <color rgb="FFFFFFFF"/>
      <name val="맑은 고딕"/>
      <family val="3"/>
      <charset val="129"/>
    </font>
    <font>
      <b/>
      <sz val="9"/>
      <color rgb="FF6E706F"/>
      <name val="맑은 고딕"/>
      <family val="3"/>
      <charset val="129"/>
    </font>
    <font>
      <b/>
      <sz val="9"/>
      <color rgb="FF6E706F"/>
      <name val="Noto Sans CJK SC"/>
      <family val="2"/>
    </font>
    <font>
      <b/>
      <sz val="9"/>
      <color rgb="FF191919"/>
      <name val="맑은 고딕"/>
      <family val="3"/>
      <charset val="129"/>
    </font>
    <font>
      <sz val="9"/>
      <color rgb="FF191919"/>
      <name val="Noto Sans CJK SC"/>
      <family val="2"/>
    </font>
    <font>
      <b/>
      <sz val="9"/>
      <color rgb="FF6E706F"/>
      <name val="Noto Sans CJK SC"/>
      <family val="2"/>
      <charset val="1"/>
    </font>
    <font>
      <sz val="9"/>
      <color rgb="FF3D3F3E"/>
      <name val="맑은 고딕"/>
      <family val="3"/>
      <charset val="129"/>
    </font>
    <font>
      <sz val="9"/>
      <color rgb="FF3D3F3E"/>
      <name val="Noto Sans CJK SC"/>
      <family val="2"/>
    </font>
    <font>
      <b/>
      <sz val="9"/>
      <color rgb="FF191919"/>
      <name val="Noto Sans CJK SC"/>
      <family val="2"/>
    </font>
    <font>
      <b/>
      <sz val="9"/>
      <color rgb="FFFFFFFF"/>
      <name val="Noto Sans CJK SC"/>
      <family val="2"/>
      <charset val="1"/>
    </font>
    <font>
      <b/>
      <sz val="9"/>
      <color rgb="FFFFFFFF"/>
      <name val="맑은 고딕"/>
      <family val="3"/>
      <charset val="129"/>
    </font>
    <font>
      <sz val="9"/>
      <color rgb="FF6E706F"/>
      <name val="맑은 고딕"/>
      <family val="3"/>
      <charset val="129"/>
    </font>
    <font>
      <b/>
      <sz val="10"/>
      <color rgb="FF009A3E"/>
      <name val="맑은 고딕"/>
      <family val="3"/>
      <charset val="129"/>
    </font>
    <font>
      <b/>
      <sz val="14"/>
      <name val="Noto Sans CJK SC"/>
      <family val="2"/>
      <charset val="1"/>
    </font>
    <font>
      <sz val="9"/>
      <color rgb="FF808080"/>
      <name val="Noto Sans CJK SC"/>
      <family val="2"/>
      <charset val="1"/>
    </font>
    <font>
      <b/>
      <sz val="9"/>
      <color rgb="FFFFFFFF"/>
      <name val="Noto Sans CJK SC"/>
      <family val="2"/>
    </font>
    <font>
      <sz val="9"/>
      <name val="Noto Sans CJK SC"/>
      <family val="2"/>
      <charset val="1"/>
    </font>
    <font>
      <sz val="9"/>
      <name val="맑은 고딕"/>
      <family val="3"/>
      <charset val="129"/>
    </font>
    <font>
      <sz val="9"/>
      <color rgb="FF808080"/>
      <name val="맑은 고딕"/>
      <family val="3"/>
      <charset val="129"/>
    </font>
    <font>
      <sz val="9"/>
      <color rgb="FF808080"/>
      <name val="Noto Sans CJK SC"/>
      <family val="2"/>
    </font>
    <font>
      <sz val="9"/>
      <name val="Noto Sans CJK SC"/>
      <family val="2"/>
    </font>
    <font>
      <b/>
      <sz val="9"/>
      <name val="Noto Sans CJK SC"/>
      <family val="2"/>
      <charset val="1"/>
    </font>
    <font>
      <b/>
      <sz val="9"/>
      <name val="맑은 고딕"/>
      <family val="3"/>
      <charset val="129"/>
    </font>
    <font>
      <b/>
      <sz val="9"/>
      <name val="Noto Sans CJK SC"/>
      <family val="2"/>
    </font>
    <font>
      <sz val="8"/>
      <color rgb="FF808080"/>
      <name val="Noto Sans CJK SC"/>
      <family val="2"/>
      <charset val="1"/>
    </font>
    <font>
      <b/>
      <sz val="9.5"/>
      <color rgb="FFFFFFFF"/>
      <name val="Noto Sans CJK SC"/>
      <family val="2"/>
      <charset val="1"/>
    </font>
    <font>
      <b/>
      <sz val="9.5"/>
      <color rgb="FF191919"/>
      <name val="Noto Sans CJK SC"/>
      <family val="2"/>
      <charset val="1"/>
    </font>
    <font>
      <b/>
      <sz val="9.5"/>
      <color rgb="FF191919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13211E"/>
      <name val="Arial"/>
      <family val="2"/>
    </font>
    <font>
      <b/>
      <sz val="12"/>
      <color rgb="FF1A7652"/>
      <name val="Arial"/>
      <family val="2"/>
    </font>
    <font>
      <b/>
      <sz val="10"/>
      <color rgb="FFFFFFFF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4F5F4"/>
        <bgColor rgb="FFEEF3F1"/>
      </patternFill>
    </fill>
    <fill>
      <patternFill patternType="solid">
        <fgColor rgb="FF191919"/>
        <bgColor rgb="FF000000"/>
      </patternFill>
    </fill>
    <fill>
      <patternFill patternType="solid">
        <fgColor rgb="FFEEF3F1"/>
        <bgColor rgb="FFF4F5F4"/>
      </patternFill>
    </fill>
    <fill>
      <patternFill patternType="solid">
        <fgColor rgb="FF404040"/>
        <bgColor rgb="FF3D3F3E"/>
      </patternFill>
    </fill>
    <fill>
      <patternFill patternType="solid">
        <fgColor rgb="FFFFFFCC"/>
        <bgColor rgb="FFFFF2CC"/>
      </patternFill>
    </fill>
    <fill>
      <patternFill patternType="solid">
        <fgColor rgb="FFFFF2CC"/>
        <bgColor rgb="FFFFFF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13211E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009A3E"/>
      </bottom>
      <diagonal/>
    </border>
    <border>
      <left style="thin">
        <color rgb="FFC9CBCA"/>
      </left>
      <right style="thin">
        <color rgb="FFC9CBCA"/>
      </right>
      <top style="thin">
        <color rgb="FFC9CBCA"/>
      </top>
      <bottom style="thin">
        <color rgb="FFC9CBCA"/>
      </bottom>
      <diagonal/>
    </border>
    <border>
      <left/>
      <right/>
      <top/>
      <bottom style="thin">
        <color rgb="FF191919"/>
      </bottom>
      <diagonal/>
    </border>
    <border>
      <left style="thin">
        <color rgb="FF191919"/>
      </left>
      <right style="thin">
        <color rgb="FF191919"/>
      </right>
      <top style="thin">
        <color rgb="FF191919"/>
      </top>
      <bottom style="thin">
        <color rgb="FF191919"/>
      </bottom>
      <diagonal/>
    </border>
    <border>
      <left style="thin">
        <color rgb="FFC9CBCA"/>
      </left>
      <right style="thin">
        <color rgb="FFC9CBCA"/>
      </right>
      <top style="medium">
        <color rgb="FF009A3E"/>
      </top>
      <bottom style="thin">
        <color rgb="FFC9CBC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6" fillId="0" borderId="0" xfId="0" applyFont="1"/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9" fontId="0" fillId="0" borderId="0" xfId="0" applyNumberFormat="1"/>
    <xf numFmtId="0" fontId="10" fillId="0" borderId="3" xfId="0" applyFont="1" applyBorder="1" applyAlignment="1">
      <alignment horizontal="right" vertical="center"/>
    </xf>
    <xf numFmtId="177" fontId="0" fillId="0" borderId="0" xfId="0" applyNumberFormat="1"/>
    <xf numFmtId="3" fontId="0" fillId="0" borderId="0" xfId="0" applyNumberFormat="1"/>
    <xf numFmtId="3" fontId="15" fillId="0" borderId="0" xfId="0" applyNumberFormat="1" applyFont="1"/>
    <xf numFmtId="0" fontId="18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182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177" fontId="3" fillId="0" borderId="2" xfId="0" applyNumberFormat="1" applyFont="1" applyBorder="1" applyAlignment="1">
      <alignment horizontal="right" vertical="center"/>
    </xf>
    <xf numFmtId="182" fontId="20" fillId="2" borderId="5" xfId="0" applyNumberFormat="1" applyFont="1" applyFill="1" applyBorder="1" applyAlignment="1">
      <alignment horizontal="right" vertical="center"/>
    </xf>
    <xf numFmtId="177" fontId="20" fillId="2" borderId="5" xfId="0" applyNumberFormat="1" applyFont="1" applyFill="1" applyBorder="1" applyAlignment="1">
      <alignment horizontal="right" vertical="center"/>
    </xf>
    <xf numFmtId="0" fontId="20" fillId="2" borderId="5" xfId="0" applyFont="1" applyFill="1" applyBorder="1" applyAlignment="1">
      <alignment horizontal="right" vertical="center"/>
    </xf>
    <xf numFmtId="3" fontId="20" fillId="2" borderId="5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9" fontId="3" fillId="0" borderId="0" xfId="0" applyNumberFormat="1" applyFont="1"/>
    <xf numFmtId="0" fontId="22" fillId="0" borderId="0" xfId="0" applyFont="1" applyAlignment="1">
      <alignment horizontal="left" vertical="center"/>
    </xf>
    <xf numFmtId="0" fontId="20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0" fillId="4" borderId="2" xfId="0" applyFont="1" applyFill="1" applyBorder="1" applyAlignment="1">
      <alignment horizontal="left" vertical="center"/>
    </xf>
    <xf numFmtId="0" fontId="30" fillId="0" borderId="0" xfId="0" applyFont="1"/>
    <xf numFmtId="0" fontId="31" fillId="0" borderId="0" xfId="0" applyFont="1"/>
    <xf numFmtId="0" fontId="26" fillId="5" borderId="6" xfId="0" applyFont="1" applyFill="1" applyBorder="1" applyAlignment="1">
      <alignment horizontal="center"/>
    </xf>
    <xf numFmtId="0" fontId="27" fillId="5" borderId="6" xfId="0" applyFont="1" applyFill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3" fillId="6" borderId="6" xfId="0" applyFont="1" applyFill="1" applyBorder="1"/>
    <xf numFmtId="3" fontId="15" fillId="6" borderId="6" xfId="0" applyNumberFormat="1" applyFont="1" applyFill="1" applyBorder="1" applyAlignment="1">
      <alignment horizontal="right"/>
    </xf>
    <xf numFmtId="3" fontId="34" fillId="0" borderId="6" xfId="0" applyNumberFormat="1" applyFont="1" applyBorder="1" applyAlignment="1">
      <alignment horizontal="right"/>
    </xf>
    <xf numFmtId="4" fontId="34" fillId="0" borderId="6" xfId="0" applyNumberFormat="1" applyFont="1" applyBorder="1" applyAlignment="1">
      <alignment horizontal="center"/>
    </xf>
    <xf numFmtId="183" fontId="34" fillId="0" borderId="6" xfId="0" applyNumberFormat="1" applyFont="1" applyBorder="1" applyAlignment="1">
      <alignment horizontal="center"/>
    </xf>
    <xf numFmtId="0" fontId="35" fillId="0" borderId="6" xfId="0" applyFont="1" applyBorder="1"/>
    <xf numFmtId="3" fontId="34" fillId="6" borderId="6" xfId="0" applyNumberFormat="1" applyFont="1" applyFill="1" applyBorder="1" applyAlignment="1">
      <alignment horizontal="right"/>
    </xf>
    <xf numFmtId="0" fontId="34" fillId="6" borderId="6" xfId="0" applyFont="1" applyFill="1" applyBorder="1"/>
    <xf numFmtId="0" fontId="31" fillId="0" borderId="6" xfId="0" applyFont="1" applyBorder="1"/>
    <xf numFmtId="0" fontId="38" fillId="0" borderId="0" xfId="0" applyFont="1"/>
    <xf numFmtId="0" fontId="39" fillId="0" borderId="0" xfId="0" applyFont="1"/>
    <xf numFmtId="0" fontId="35" fillId="0" borderId="0" xfId="0" applyFont="1"/>
    <xf numFmtId="0" fontId="41" fillId="0" borderId="0" xfId="0" applyFont="1"/>
    <xf numFmtId="180" fontId="39" fillId="0" borderId="0" xfId="0" applyNumberFormat="1" applyFont="1" applyAlignment="1">
      <alignment horizontal="center"/>
    </xf>
    <xf numFmtId="0" fontId="26" fillId="5" borderId="6" xfId="0" applyFont="1" applyFill="1" applyBorder="1" applyAlignment="1">
      <alignment horizontal="left"/>
    </xf>
    <xf numFmtId="180" fontId="27" fillId="5" borderId="6" xfId="0" applyNumberFormat="1" applyFont="1" applyFill="1" applyBorder="1" applyAlignment="1">
      <alignment horizontal="center"/>
    </xf>
    <xf numFmtId="0" fontId="33" fillId="0" borderId="6" xfId="0" applyFont="1" applyBorder="1"/>
    <xf numFmtId="0" fontId="38" fillId="0" borderId="6" xfId="0" applyFont="1" applyBorder="1"/>
    <xf numFmtId="0" fontId="0" fillId="0" borderId="6" xfId="0" applyBorder="1"/>
    <xf numFmtId="3" fontId="39" fillId="0" borderId="6" xfId="0" applyNumberFormat="1" applyFont="1" applyBorder="1" applyAlignment="1">
      <alignment horizontal="right"/>
    </xf>
    <xf numFmtId="0" fontId="34" fillId="0" borderId="6" xfId="0" applyFont="1" applyBorder="1"/>
    <xf numFmtId="3" fontId="39" fillId="7" borderId="6" xfId="0" applyNumberFormat="1" applyFont="1" applyFill="1" applyBorder="1" applyAlignment="1">
      <alignment horizontal="right"/>
    </xf>
    <xf numFmtId="177" fontId="34" fillId="0" borderId="6" xfId="0" applyNumberFormat="1" applyFont="1" applyBorder="1" applyAlignment="1">
      <alignment horizontal="right"/>
    </xf>
    <xf numFmtId="177" fontId="39" fillId="0" borderId="6" xfId="0" applyNumberFormat="1" applyFont="1" applyBorder="1" applyAlignment="1">
      <alignment horizontal="right"/>
    </xf>
    <xf numFmtId="3" fontId="15" fillId="0" borderId="6" xfId="0" applyNumberFormat="1" applyFont="1" applyBorder="1" applyAlignment="1">
      <alignment horizontal="right"/>
    </xf>
    <xf numFmtId="3" fontId="39" fillId="8" borderId="6" xfId="0" applyNumberFormat="1" applyFont="1" applyFill="1" applyBorder="1" applyAlignment="1">
      <alignment horizontal="right"/>
    </xf>
    <xf numFmtId="176" fontId="39" fillId="8" borderId="6" xfId="0" applyNumberFormat="1" applyFont="1" applyFill="1" applyBorder="1" applyAlignment="1">
      <alignment horizontal="right"/>
    </xf>
    <xf numFmtId="3" fontId="39" fillId="9" borderId="6" xfId="0" applyNumberFormat="1" applyFont="1" applyFill="1" applyBorder="1" applyAlignment="1">
      <alignment horizontal="right"/>
    </xf>
    <xf numFmtId="176" fontId="39" fillId="9" borderId="6" xfId="0" applyNumberFormat="1" applyFont="1" applyFill="1" applyBorder="1" applyAlignment="1">
      <alignment horizontal="right"/>
    </xf>
    <xf numFmtId="0" fontId="42" fillId="3" borderId="2" xfId="0" applyFont="1" applyFill="1" applyBorder="1" applyAlignment="1">
      <alignment horizontal="left" vertical="center" wrapText="1"/>
    </xf>
    <xf numFmtId="0" fontId="43" fillId="2" borderId="2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44" fillId="2" borderId="2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right" vertical="center"/>
    </xf>
    <xf numFmtId="180" fontId="20" fillId="0" borderId="2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right" vertical="center"/>
    </xf>
    <xf numFmtId="3" fontId="20" fillId="0" borderId="2" xfId="0" applyNumberFormat="1" applyFont="1" applyBorder="1" applyAlignment="1">
      <alignment horizontal="right" vertical="center"/>
    </xf>
    <xf numFmtId="0" fontId="23" fillId="0" borderId="2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80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6" fillId="3" borderId="4" xfId="0" applyFont="1" applyFill="1" applyBorder="1" applyAlignment="1">
      <alignment horizontal="center" vertical="center"/>
    </xf>
    <xf numFmtId="181" fontId="17" fillId="3" borderId="4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178" fontId="13" fillId="0" borderId="2" xfId="0" applyNumberFormat="1" applyFont="1" applyBorder="1" applyAlignment="1">
      <alignment horizontal="center" vertical="center"/>
    </xf>
    <xf numFmtId="179" fontId="13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30" fillId="0" borderId="0" xfId="0" applyFont="1"/>
    <xf numFmtId="0" fontId="46" fillId="0" borderId="0" xfId="0" applyFont="1" applyAlignment="1">
      <alignment horizontal="left"/>
    </xf>
    <xf numFmtId="0" fontId="26" fillId="10" borderId="2" xfId="0" applyFont="1" applyFill="1" applyBorder="1" applyAlignment="1">
      <alignment horizontal="left" vertical="center"/>
    </xf>
    <xf numFmtId="3" fontId="27" fillId="10" borderId="2" xfId="0" applyNumberFormat="1" applyFont="1" applyFill="1" applyBorder="1" applyAlignment="1">
      <alignment horizontal="right" vertical="center"/>
    </xf>
    <xf numFmtId="0" fontId="48" fillId="10" borderId="2" xfId="0" applyFont="1" applyFill="1" applyBorder="1" applyAlignment="1">
      <alignment horizontal="left" vertical="center"/>
    </xf>
  </cellXfs>
  <cellStyles count="1">
    <cellStyle name="표준" xfId="0" builtinId="0"/>
  </cellStyles>
  <dxfs count="1">
    <dxf>
      <fill>
        <patternFill>
          <bgColor rgb="FFEEF3F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9A3E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9CB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1"/>
      <rgbColor rgb="FFE2EFDA"/>
      <rgbColor rgb="FFFFF2CC"/>
      <rgbColor rgb="FF99CCFF"/>
      <rgbColor rgb="FFFF99CC"/>
      <rgbColor rgb="FFCC99FF"/>
      <rgbColor rgb="FFF4F5F4"/>
      <rgbColor rgb="FF3366FF"/>
      <rgbColor rgb="FF33CCCC"/>
      <rgbColor rgb="FF99CC00"/>
      <rgbColor rgb="FFFFCC00"/>
      <rgbColor rgb="FFFF9900"/>
      <rgbColor rgb="FFFF6600"/>
      <rgbColor rgb="FF6E706F"/>
      <rgbColor rgb="FF969696"/>
      <rgbColor rgb="FF003366"/>
      <rgbColor rgb="FF339966"/>
      <rgbColor rgb="FF191919"/>
      <rgbColor rgb="FF404040"/>
      <rgbColor rgb="FF993300"/>
      <rgbColor rgb="FF993366"/>
      <rgbColor rgb="FF333399"/>
      <rgbColor rgb="FF3D3F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8</xdr:col>
      <xdr:colOff>300240</xdr:colOff>
      <xdr:row>5</xdr:row>
      <xdr:rowOff>90720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507360" y="952560"/>
          <a:ext cx="300240" cy="300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X59"/>
  <sheetViews>
    <sheetView showGridLines="0" tabSelected="1" zoomScaleNormal="100" workbookViewId="0">
      <selection activeCell="H47" sqref="H47:I47"/>
    </sheetView>
  </sheetViews>
  <sheetFormatPr defaultColWidth="8.7109375" defaultRowHeight="15"/>
  <cols>
    <col min="1" max="1" width="2.28515625" customWidth="1"/>
    <col min="2" max="2" width="16.28515625" customWidth="1"/>
    <col min="3" max="3" width="12.7109375" customWidth="1"/>
    <col min="4" max="4" width="15.7109375" customWidth="1"/>
    <col min="5" max="5" width="11.28515625" customWidth="1"/>
    <col min="6" max="7" width="14.7109375" customWidth="1"/>
    <col min="8" max="8" width="12.7109375" customWidth="1"/>
    <col min="9" max="9" width="11.28515625" customWidth="1"/>
    <col min="10" max="10" width="16.7109375" customWidth="1"/>
    <col min="11" max="12" width="9.7109375" customWidth="1"/>
    <col min="13" max="13" width="8.28515625" customWidth="1"/>
    <col min="14" max="14" width="12.7109375" customWidth="1"/>
    <col min="15" max="15" width="14.7109375" customWidth="1"/>
    <col min="16" max="17" width="2.7109375" customWidth="1"/>
    <col min="18" max="18" width="15.7109375" customWidth="1"/>
    <col min="20" max="20" width="12.7109375" customWidth="1"/>
    <col min="21" max="21" width="3.7109375" customWidth="1"/>
    <col min="22" max="22" width="10.7109375" customWidth="1"/>
    <col min="23" max="24" width="13.7109375" customWidth="1"/>
  </cols>
  <sheetData>
    <row r="1" spans="2:18" ht="20.100000000000001" customHeight="1">
      <c r="B1" s="95" t="s">
        <v>226</v>
      </c>
    </row>
    <row r="2" spans="2:18" ht="36" customHeight="1" thickBot="1">
      <c r="B2" s="86" t="s">
        <v>0</v>
      </c>
      <c r="C2" s="86"/>
      <c r="D2" s="86"/>
      <c r="E2" s="86"/>
      <c r="F2" s="86"/>
      <c r="G2" s="86"/>
      <c r="H2" s="86"/>
      <c r="I2" s="86"/>
      <c r="R2" s="1" t="s">
        <v>1</v>
      </c>
    </row>
    <row r="3" spans="2:18" ht="7.5" customHeight="1">
      <c r="R3" s="2">
        <v>0.03</v>
      </c>
    </row>
    <row r="4" spans="2:18" ht="16.5" customHeight="1">
      <c r="B4" s="87" t="str">
        <f ca="1">TEXT(TODAY(),"yyyy년  mm월  dd일")</f>
        <v>2026년  08월  30일</v>
      </c>
      <c r="C4" s="87"/>
      <c r="D4" s="87"/>
      <c r="E4" s="88" t="s">
        <v>2</v>
      </c>
      <c r="F4" s="1" t="s">
        <v>3</v>
      </c>
      <c r="G4" s="89" t="s">
        <v>4</v>
      </c>
      <c r="H4" s="89"/>
      <c r="I4" s="89"/>
      <c r="R4" s="3" t="s">
        <v>5</v>
      </c>
    </row>
    <row r="5" spans="2:18" ht="16.5" customHeight="1">
      <c r="E5" s="88"/>
      <c r="F5" s="1" t="s">
        <v>6</v>
      </c>
      <c r="G5" s="4" t="s">
        <v>7</v>
      </c>
      <c r="H5" s="1" t="s">
        <v>8</v>
      </c>
      <c r="I5" s="5" t="s">
        <v>9</v>
      </c>
      <c r="R5" s="6">
        <v>0</v>
      </c>
    </row>
    <row r="6" spans="2:18" ht="25.5" customHeight="1">
      <c r="B6" s="90" t="s">
        <v>10</v>
      </c>
      <c r="C6" s="90"/>
      <c r="D6" s="7" t="s">
        <v>11</v>
      </c>
      <c r="E6" s="88"/>
      <c r="F6" s="1" t="s">
        <v>12</v>
      </c>
      <c r="G6" s="91" t="s">
        <v>13</v>
      </c>
      <c r="H6" s="91"/>
      <c r="I6" s="91"/>
      <c r="R6" s="3" t="s">
        <v>14</v>
      </c>
    </row>
    <row r="7" spans="2:18" ht="25.5" customHeight="1">
      <c r="E7" s="88"/>
      <c r="F7" s="1" t="s">
        <v>15</v>
      </c>
      <c r="G7" s="91" t="s">
        <v>16</v>
      </c>
      <c r="H7" s="91"/>
      <c r="I7" s="91"/>
      <c r="R7" s="8">
        <f>IF(OR($C$14="",$C$14=0),0,($G$34+$G$43)/$C$14/(1+$R$5))</f>
        <v>1074.51054</v>
      </c>
    </row>
    <row r="8" spans="2:18" ht="25.5" customHeight="1">
      <c r="B8" s="92" t="s">
        <v>17</v>
      </c>
      <c r="C8" s="92"/>
      <c r="D8" s="92"/>
      <c r="E8" s="88"/>
      <c r="F8" s="1" t="s">
        <v>18</v>
      </c>
      <c r="G8" s="91" t="s">
        <v>19</v>
      </c>
      <c r="H8" s="91"/>
      <c r="I8" s="91"/>
      <c r="R8" s="3" t="s">
        <v>20</v>
      </c>
    </row>
    <row r="9" spans="2:18" ht="16.5" customHeight="1">
      <c r="E9" s="88"/>
      <c r="F9" s="1" t="s">
        <v>21</v>
      </c>
      <c r="G9" s="93" t="s">
        <v>22</v>
      </c>
      <c r="H9" s="93"/>
      <c r="I9" s="93"/>
      <c r="R9" s="9">
        <f>IF(OR($C$14="",$C$14=0),0,$O$43/$C$14)</f>
        <v>2000</v>
      </c>
    </row>
    <row r="10" spans="2:18" ht="16.5" customHeight="1">
      <c r="R10" s="3" t="s">
        <v>23</v>
      </c>
    </row>
    <row r="11" spans="2:18" ht="16.5" customHeight="1">
      <c r="B11" s="1" t="s">
        <v>24</v>
      </c>
      <c r="C11" s="83" t="s">
        <v>25</v>
      </c>
      <c r="D11" s="83"/>
      <c r="E11" s="1" t="s">
        <v>26</v>
      </c>
      <c r="F11" s="80"/>
      <c r="G11" s="80"/>
      <c r="H11" s="80"/>
      <c r="I11" s="80"/>
      <c r="R11" s="10">
        <v>3800</v>
      </c>
    </row>
    <row r="12" spans="2:18" ht="16.5" customHeight="1">
      <c r="B12" s="1" t="s">
        <v>27</v>
      </c>
      <c r="C12" s="83" t="s">
        <v>28</v>
      </c>
      <c r="D12" s="83"/>
      <c r="E12" s="1" t="s">
        <v>29</v>
      </c>
      <c r="F12" s="84">
        <v>600</v>
      </c>
      <c r="G12" s="84"/>
      <c r="H12" s="84"/>
      <c r="I12" s="84"/>
      <c r="R12" s="3" t="s">
        <v>30</v>
      </c>
    </row>
    <row r="13" spans="2:18" ht="16.5" customHeight="1">
      <c r="B13" s="1" t="s">
        <v>31</v>
      </c>
      <c r="C13" s="83" t="s">
        <v>32</v>
      </c>
      <c r="D13" s="83"/>
      <c r="E13" s="1" t="s">
        <v>33</v>
      </c>
      <c r="F13" s="85">
        <v>60</v>
      </c>
      <c r="G13" s="85"/>
      <c r="H13" s="85"/>
      <c r="I13" s="85"/>
      <c r="R13" s="10">
        <v>2000000</v>
      </c>
    </row>
    <row r="14" spans="2:18" ht="16.5" customHeight="1">
      <c r="B14" s="1" t="s">
        <v>34</v>
      </c>
      <c r="C14" s="79">
        <v>1000</v>
      </c>
      <c r="D14" s="79"/>
      <c r="E14" s="1" t="s">
        <v>35</v>
      </c>
      <c r="F14" s="80" t="s">
        <v>36</v>
      </c>
      <c r="G14" s="80"/>
      <c r="H14" s="80"/>
      <c r="I14" s="80"/>
    </row>
    <row r="16" spans="2:18" ht="30" customHeight="1">
      <c r="B16" s="81" t="s">
        <v>37</v>
      </c>
      <c r="C16" s="81"/>
      <c r="D16" s="82">
        <f>$G$57</f>
        <v>3800000</v>
      </c>
      <c r="E16" s="82"/>
      <c r="F16" s="82"/>
      <c r="G16" s="82"/>
      <c r="H16" s="82"/>
      <c r="I16" s="82"/>
    </row>
    <row r="18" spans="2:24" ht="15" customHeight="1">
      <c r="B18" s="11" t="s">
        <v>38</v>
      </c>
    </row>
    <row r="19" spans="2:24" ht="25.5" customHeight="1">
      <c r="B19" s="76" t="s">
        <v>39</v>
      </c>
      <c r="C19" s="76"/>
      <c r="D19" s="12" t="s">
        <v>40</v>
      </c>
      <c r="E19" s="12" t="s">
        <v>41</v>
      </c>
      <c r="F19" s="12" t="s">
        <v>42</v>
      </c>
      <c r="G19" s="12" t="s">
        <v>43</v>
      </c>
      <c r="H19" s="12" t="s">
        <v>44</v>
      </c>
      <c r="I19" s="12" t="s">
        <v>45</v>
      </c>
      <c r="T19" s="3" t="s">
        <v>46</v>
      </c>
      <c r="U19" s="3"/>
      <c r="V19" s="3" t="s">
        <v>47</v>
      </c>
      <c r="W19" s="3" t="s">
        <v>48</v>
      </c>
      <c r="X19" s="3" t="s">
        <v>49</v>
      </c>
    </row>
    <row r="20" spans="2:24" ht="16.5" customHeight="1">
      <c r="B20" s="77" t="s">
        <v>50</v>
      </c>
      <c r="C20" s="77"/>
      <c r="D20" s="13">
        <v>99</v>
      </c>
      <c r="E20" s="13">
        <f>IF(D20="","",D20*$F12/100)</f>
        <v>594</v>
      </c>
      <c r="F20" s="14">
        <f>IFERROR(INDEX(단가마스터!$F$6:$F$20,MATCH($B20,단가마스터!$C$6:$C$20,0)),"")</f>
        <v>15000</v>
      </c>
      <c r="G20" s="15">
        <f t="shared" ref="G20:G33" si="0">IF(D20="","",H20/1000*F20)</f>
        <v>550638</v>
      </c>
      <c r="H20" s="14">
        <f>IF(D20="","",E20*$F13*$C14/1000*(1+$R$3))</f>
        <v>36709.200000000004</v>
      </c>
      <c r="I20" s="14">
        <v>594</v>
      </c>
      <c r="T20" s="9">
        <f>IFERROR(INDEX(단가마스터!$E$6:$E$20,MATCH($B20,단가마스터!$C$6:$C$20,0)),"")</f>
        <v>20</v>
      </c>
      <c r="U20" s="9"/>
      <c r="V20" s="9">
        <f>IF(OR(H20="",H20=0),0,ROUNDUP(H20/1000/T20,0))</f>
        <v>2</v>
      </c>
      <c r="W20" s="9">
        <f>IF(OR(V20="",V20=0),0,V20*T20*$F20)</f>
        <v>600000</v>
      </c>
      <c r="X20" s="9">
        <f>IF(OR(H20="",H20=0),0,H20*$F20/1000)</f>
        <v>550638.00000000012</v>
      </c>
    </row>
    <row r="21" spans="2:24" ht="16.5" customHeight="1">
      <c r="B21" s="77" t="s">
        <v>51</v>
      </c>
      <c r="C21" s="77"/>
      <c r="D21" s="13">
        <v>0.5</v>
      </c>
      <c r="E21" s="13">
        <f>IF(D21="","",D21*$F12/100)</f>
        <v>3</v>
      </c>
      <c r="F21" s="14">
        <f>IFERROR(INDEX(단가마스터!$F$6:$F$20,MATCH($B21,단가마스터!$C$6:$C$20,0)),"")</f>
        <v>4000</v>
      </c>
      <c r="G21" s="15">
        <f t="shared" si="0"/>
        <v>741.6</v>
      </c>
      <c r="H21" s="14">
        <f>IF(D21="","",E21*$F13*$C14/1000*(1+$R$3))</f>
        <v>185.4</v>
      </c>
      <c r="I21" s="14">
        <v>3</v>
      </c>
      <c r="T21" s="9">
        <f>IFERROR(INDEX(단가마스터!$E$6:$E$20,MATCH($B21,단가마스터!$C$6:$C$20,0)),"")</f>
        <v>17</v>
      </c>
      <c r="U21" s="9"/>
      <c r="V21" s="9">
        <f>IF(OR(H21="",H21=0),0,ROUNDUP(H21/1000/T21,0))</f>
        <v>1</v>
      </c>
      <c r="W21" s="9">
        <f>IF(OR(V21="",V21=0),0,V21*T21*$F21)</f>
        <v>68000</v>
      </c>
      <c r="X21" s="9">
        <f>IF(OR(H21="",H21=0),0,H21*$F21/1000)</f>
        <v>741.6</v>
      </c>
    </row>
    <row r="22" spans="2:24" ht="16.5" customHeight="1">
      <c r="B22" s="77" t="s">
        <v>52</v>
      </c>
      <c r="C22" s="77"/>
      <c r="D22" s="13">
        <v>0.5</v>
      </c>
      <c r="E22" s="13">
        <f>IF(D22="","",D22*$F12/100)</f>
        <v>3</v>
      </c>
      <c r="F22" s="14">
        <f>IFERROR(INDEX(단가마스터!$F$6:$F$20,MATCH($B22,단가마스터!$C$6:$C$20,0)),"")</f>
        <v>6100</v>
      </c>
      <c r="G22" s="15">
        <f t="shared" si="0"/>
        <v>1130.94</v>
      </c>
      <c r="H22" s="14">
        <f>IF(D22="","",E22*$F13*$C14/1000*(1+$R$3))</f>
        <v>185.4</v>
      </c>
      <c r="I22" s="14">
        <v>3</v>
      </c>
      <c r="T22" s="9">
        <f>IFERROR(INDEX(단가마스터!$E$6:$E$20,MATCH($B22,단가마스터!$C$6:$C$20,0)),"")</f>
        <v>15</v>
      </c>
      <c r="U22" s="9"/>
      <c r="V22" s="9">
        <f>IF(OR(H22="",H22=0),0,ROUNDUP(H22/1000/T22,0))</f>
        <v>1</v>
      </c>
      <c r="W22" s="9">
        <f>IF(OR(V22="",V22=0),0,V22*T22*$F22)</f>
        <v>91500</v>
      </c>
      <c r="X22" s="9">
        <f>IF(OR(H22="",H22=0),0,H22*$F22/1000)</f>
        <v>1130.94</v>
      </c>
    </row>
    <row r="23" spans="2:24" ht="16.5" customHeight="1">
      <c r="B23" s="77"/>
      <c r="C23" s="77"/>
      <c r="D23" s="13"/>
      <c r="E23" s="13" t="str">
        <f>IF(D23="","",D23*$F12/100)</f>
        <v/>
      </c>
      <c r="F23" s="14" t="str">
        <f>IFERROR(INDEX(단가마스터!$F$6:$F$20,MATCH($B23,단가마스터!$C$6:$C$20,0)),"")</f>
        <v/>
      </c>
      <c r="G23" s="15" t="str">
        <f t="shared" si="0"/>
        <v/>
      </c>
      <c r="H23" s="14" t="str">
        <f>IF(D23="","",E23*$F13*$C14/1000*(1+$R$3))</f>
        <v/>
      </c>
      <c r="I23" s="14"/>
      <c r="T23" t="str">
        <f>IFERROR(INDEX(단가마스터!$E$6:$E$20,MATCH($B23,단가마스터!$C$6:$C$20,0)),"")</f>
        <v/>
      </c>
      <c r="U23" s="9"/>
      <c r="W23">
        <f>IF(OR(V23="",V23=0),0,V23*T23*$F23)</f>
        <v>0</v>
      </c>
      <c r="X23">
        <f>IF(OR(H23="",H23=0),0,H23*$F23/1000)</f>
        <v>0</v>
      </c>
    </row>
    <row r="24" spans="2:24" ht="16.5" customHeight="1">
      <c r="B24" s="77"/>
      <c r="C24" s="77"/>
      <c r="D24" s="13"/>
      <c r="E24" s="13" t="str">
        <f>IF(D24="","",D24*$F12/100)</f>
        <v/>
      </c>
      <c r="F24" s="14" t="str">
        <f>IFERROR(INDEX(단가마스터!$F$6:$F$20,MATCH($B24,단가마스터!$C$6:$C$20,0)),"")</f>
        <v/>
      </c>
      <c r="G24" s="15" t="str">
        <f t="shared" si="0"/>
        <v/>
      </c>
      <c r="H24" s="14" t="str">
        <f>IF(D24="","",E24*$F13*$C14/1000*(1+$R$3))</f>
        <v/>
      </c>
      <c r="I24" s="14"/>
      <c r="T24" t="str">
        <f>IFERROR(INDEX(단가마스터!$E$6:$E$20,MATCH($B24,단가마스터!$C$6:$C$20,0)),"")</f>
        <v/>
      </c>
      <c r="U24" s="9"/>
      <c r="W24">
        <f>IF(OR(V24="",V24=0),0,V24*T24*$F24)</f>
        <v>0</v>
      </c>
      <c r="X24">
        <f>IF(OR(H24="",H24=0),0,H24*$F24/1000)</f>
        <v>0</v>
      </c>
    </row>
    <row r="25" spans="2:24" ht="16.5" customHeight="1">
      <c r="B25" s="77"/>
      <c r="C25" s="77"/>
      <c r="D25" s="13"/>
      <c r="E25" s="13" t="str">
        <f>IF(D25="","",D25*$F12/100)</f>
        <v/>
      </c>
      <c r="F25" s="14" t="str">
        <f>IFERROR(INDEX(단가마스터!$F$6:$F$20,MATCH($B25,단가마스터!$C$6:$C$20,0)),"")</f>
        <v/>
      </c>
      <c r="G25" s="15" t="str">
        <f t="shared" si="0"/>
        <v/>
      </c>
      <c r="H25" s="14" t="str">
        <f>IF(D25="","",E25*$F13*$C14/1000*(1+$R$3))</f>
        <v/>
      </c>
      <c r="I25" s="14"/>
      <c r="T25" t="str">
        <f>IFERROR(INDEX(단가마스터!$E$6:$E$20,MATCH($B25,단가마스터!$C$6:$C$20,0)),"")</f>
        <v/>
      </c>
      <c r="U25" s="9"/>
      <c r="W25">
        <f>IF(OR(V25="",V25=0),0,V25*T25*$F25)</f>
        <v>0</v>
      </c>
      <c r="X25">
        <f>IF(OR(H25="",H25=0),0,H25*$F25/1000)</f>
        <v>0</v>
      </c>
    </row>
    <row r="26" spans="2:24" ht="16.5" customHeight="1">
      <c r="B26" s="77"/>
      <c r="C26" s="77"/>
      <c r="D26" s="13"/>
      <c r="E26" s="13" t="str">
        <f>IF(D26="","",D26*$F12/100)</f>
        <v/>
      </c>
      <c r="F26" s="14" t="str">
        <f>IFERROR(INDEX(단가마스터!$F$6:$F$20,MATCH($B26,단가마스터!$C$6:$C$20,0)),"")</f>
        <v/>
      </c>
      <c r="G26" s="15" t="str">
        <f t="shared" si="0"/>
        <v/>
      </c>
      <c r="H26" s="14" t="str">
        <f>IF(D26="","",E26*$F13*$C14/1000*(1+$R$3))</f>
        <v/>
      </c>
      <c r="I26" s="14"/>
      <c r="T26" t="str">
        <f>IFERROR(INDEX(단가마스터!$E$6:$E$20,MATCH($B26,단가마스터!$C$6:$C$20,0)),"")</f>
        <v/>
      </c>
      <c r="U26" s="9"/>
      <c r="W26">
        <f>IF(OR(V26="",V26=0),0,V26*T26*$F26)</f>
        <v>0</v>
      </c>
      <c r="X26">
        <f>IF(OR(H26="",H26=0),0,H26*$F26/1000)</f>
        <v>0</v>
      </c>
    </row>
    <row r="27" spans="2:24" ht="16.5" customHeight="1">
      <c r="B27" s="77"/>
      <c r="C27" s="77"/>
      <c r="D27" s="13"/>
      <c r="E27" s="13" t="str">
        <f>IF(D27="","",D27*$F12/100)</f>
        <v/>
      </c>
      <c r="F27" s="14" t="str">
        <f>IFERROR(INDEX(단가마스터!$F$6:$F$20,MATCH($B27,단가마스터!$C$6:$C$20,0)),"")</f>
        <v/>
      </c>
      <c r="G27" s="15" t="str">
        <f t="shared" si="0"/>
        <v/>
      </c>
      <c r="H27" s="14" t="str">
        <f>IF(D27="","",E27*$F13*$C14/1000*(1+$R$3))</f>
        <v/>
      </c>
      <c r="I27" s="14"/>
      <c r="T27" t="str">
        <f>IFERROR(INDEX(단가마스터!$E$6:$E$20,MATCH($B27,단가마스터!$C$6:$C$20,0)),"")</f>
        <v/>
      </c>
      <c r="U27" s="9"/>
      <c r="W27">
        <f>IF(OR(V27="",V27=0),0,V27*T27*$F27)</f>
        <v>0</v>
      </c>
      <c r="X27">
        <f>IF(OR(H27="",H27=0),0,H27*$F27/1000)</f>
        <v>0</v>
      </c>
    </row>
    <row r="28" spans="2:24" ht="16.5" customHeight="1">
      <c r="B28" s="77"/>
      <c r="C28" s="77"/>
      <c r="D28" s="13"/>
      <c r="E28" s="13" t="str">
        <f>IF(D28="","",D28*$F12/100)</f>
        <v/>
      </c>
      <c r="F28" s="14" t="str">
        <f>IFERROR(INDEX(단가마스터!$F$6:$F$20,MATCH($B28,단가마스터!$C$6:$C$20,0)),"")</f>
        <v/>
      </c>
      <c r="G28" s="15" t="str">
        <f t="shared" si="0"/>
        <v/>
      </c>
      <c r="H28" s="14" t="str">
        <f>IF(D28="","",E28*$F13*$C14/1000*(1+$R$3))</f>
        <v/>
      </c>
      <c r="I28" s="14"/>
      <c r="T28" t="str">
        <f>IFERROR(INDEX(단가마스터!$E$6:$E$20,MATCH($B28,단가마스터!$C$6:$C$20,0)),"")</f>
        <v/>
      </c>
      <c r="U28" s="9"/>
      <c r="W28">
        <f>IF(OR(V28="",V28=0),0,V28*T28*$F28)</f>
        <v>0</v>
      </c>
      <c r="X28">
        <f>IF(OR(H28="",H28=0),0,H28*$F28/1000)</f>
        <v>0</v>
      </c>
    </row>
    <row r="29" spans="2:24" ht="16.5" customHeight="1">
      <c r="B29" s="77"/>
      <c r="C29" s="77"/>
      <c r="D29" s="13"/>
      <c r="E29" s="13" t="str">
        <f>IF(D29="","",D29*$F12/100)</f>
        <v/>
      </c>
      <c r="F29" s="14" t="str">
        <f>IFERROR(INDEX(단가마스터!$F$6:$F$20,MATCH($B29,단가마스터!$C$6:$C$20,0)),"")</f>
        <v/>
      </c>
      <c r="G29" s="15" t="str">
        <f t="shared" si="0"/>
        <v/>
      </c>
      <c r="H29" s="14" t="str">
        <f>IF(D29="","",E29*$F13*$C14/1000*(1+$R$3))</f>
        <v/>
      </c>
      <c r="I29" s="14"/>
      <c r="T29" t="str">
        <f>IFERROR(INDEX(단가마스터!$E$6:$E$20,MATCH($B29,단가마스터!$C$6:$C$20,0)),"")</f>
        <v/>
      </c>
      <c r="U29" s="9"/>
      <c r="W29">
        <f>IF(OR(V29="",V29=0),0,V29*T29*$F29)</f>
        <v>0</v>
      </c>
      <c r="X29">
        <f>IF(OR(H29="",H29=0),0,H29*$F29/1000)</f>
        <v>0</v>
      </c>
    </row>
    <row r="30" spans="2:24" ht="16.5" customHeight="1">
      <c r="B30" s="77"/>
      <c r="C30" s="77"/>
      <c r="D30" s="13"/>
      <c r="E30" s="13" t="str">
        <f>IF(D30="","",D30*$F12/100)</f>
        <v/>
      </c>
      <c r="F30" s="14" t="str">
        <f>IFERROR(INDEX(단가마스터!$F$6:$F$20,MATCH($B30,단가마스터!$C$6:$C$20,0)),"")</f>
        <v/>
      </c>
      <c r="G30" s="15" t="str">
        <f t="shared" si="0"/>
        <v/>
      </c>
      <c r="H30" s="14" t="str">
        <f>IF(D30="","",E30*$F13*$C14/1000*(1+$R$3))</f>
        <v/>
      </c>
      <c r="I30" s="14"/>
      <c r="T30" t="str">
        <f>IFERROR(INDEX(단가마스터!$E$6:$E$20,MATCH($B30,단가마스터!$C$6:$C$20,0)),"")</f>
        <v/>
      </c>
      <c r="U30" s="9"/>
      <c r="W30">
        <f>IF(OR(V30="",V30=0),0,V30*T30*$F30)</f>
        <v>0</v>
      </c>
      <c r="X30">
        <f>IF(OR(H30="",H30=0),0,H30*$F30/1000)</f>
        <v>0</v>
      </c>
    </row>
    <row r="31" spans="2:24" ht="16.5" customHeight="1">
      <c r="B31" s="77"/>
      <c r="C31" s="77"/>
      <c r="D31" s="13"/>
      <c r="E31" s="13" t="str">
        <f>IF(D31="","",D31*$F12/100)</f>
        <v/>
      </c>
      <c r="F31" s="14" t="str">
        <f>IFERROR(INDEX(단가마스터!$F$6:$F$20,MATCH($B31,단가마스터!$C$6:$C$20,0)),"")</f>
        <v/>
      </c>
      <c r="G31" s="15" t="str">
        <f t="shared" si="0"/>
        <v/>
      </c>
      <c r="H31" s="14" t="str">
        <f>IF(D31="","",E31*$F13*$C14/1000*(1+$R$3))</f>
        <v/>
      </c>
      <c r="I31" s="14"/>
      <c r="T31" t="str">
        <f>IFERROR(INDEX(단가마스터!$E$6:$E$20,MATCH($B31,단가마스터!$C$6:$C$20,0)),"")</f>
        <v/>
      </c>
      <c r="U31" s="9"/>
      <c r="W31">
        <f>IF(OR(V31="",V31=0),0,V31*T31*$F31)</f>
        <v>0</v>
      </c>
      <c r="X31">
        <f>IF(OR(H31="",H31=0),0,H31*$F31/1000)</f>
        <v>0</v>
      </c>
    </row>
    <row r="32" spans="2:24" ht="16.5" customHeight="1">
      <c r="B32" s="77"/>
      <c r="C32" s="77"/>
      <c r="D32" s="13"/>
      <c r="E32" s="13" t="str">
        <f>IF(D32="","",D32*$F12/100)</f>
        <v/>
      </c>
      <c r="F32" s="14" t="str">
        <f>IFERROR(INDEX(단가마스터!$F$6:$F$20,MATCH($B32,단가마스터!$C$6:$C$20,0)),"")</f>
        <v/>
      </c>
      <c r="G32" s="15" t="str">
        <f t="shared" si="0"/>
        <v/>
      </c>
      <c r="H32" s="14" t="str">
        <f>IF(D32="","",E32*$F13*$C14/1000*(1+$R$3))</f>
        <v/>
      </c>
      <c r="I32" s="14"/>
      <c r="T32" t="str">
        <f>IFERROR(INDEX(단가마스터!$E$6:$E$20,MATCH($B32,단가마스터!$C$6:$C$20,0)),"")</f>
        <v/>
      </c>
      <c r="U32" s="9"/>
      <c r="W32">
        <f>IF(OR(V32="",V32=0),0,V32*T32*$F32)</f>
        <v>0</v>
      </c>
      <c r="X32">
        <f>IF(OR(H32="",H32=0),0,H32*$F32/1000)</f>
        <v>0</v>
      </c>
    </row>
    <row r="33" spans="2:24" ht="16.5" customHeight="1">
      <c r="B33" s="77"/>
      <c r="C33" s="77"/>
      <c r="D33" s="13"/>
      <c r="E33" s="13" t="str">
        <f>IF(D33="","",D33*$F12/100)</f>
        <v/>
      </c>
      <c r="F33" s="14" t="str">
        <f>IFERROR(INDEX(단가마스터!$F$6:$F$20,MATCH($B33,단가마스터!$C$6:$C$20,0)),"")</f>
        <v/>
      </c>
      <c r="G33" s="15" t="str">
        <f t="shared" si="0"/>
        <v/>
      </c>
      <c r="H33" s="14" t="str">
        <f>IF(D33="","",E33*$F13*$C14/1000*(1+$R$3))</f>
        <v/>
      </c>
      <c r="I33" s="14"/>
      <c r="T33" t="str">
        <f>IFERROR(INDEX(단가마스터!$E$6:$E$20,MATCH($B33,단가마스터!$C$6:$C$20,0)),"")</f>
        <v/>
      </c>
      <c r="U33" s="9"/>
      <c r="W33">
        <f>IF(OR(V33="",V33=0),0,V33*T33*$F33)</f>
        <v>0</v>
      </c>
      <c r="X33">
        <f>IF(OR(H33="",H33=0),0,H33*$F33/1000)</f>
        <v>0</v>
      </c>
    </row>
    <row r="34" spans="2:24" ht="18" customHeight="1">
      <c r="B34" s="74" t="s">
        <v>53</v>
      </c>
      <c r="C34" s="74"/>
      <c r="D34" s="16">
        <f>SUM(D20:D33)</f>
        <v>100</v>
      </c>
      <c r="E34" s="17">
        <f>SUM(E20:E33)</f>
        <v>600</v>
      </c>
      <c r="F34" s="18"/>
      <c r="G34" s="19">
        <f>SUM(G20:G33)</f>
        <v>552510.53999999992</v>
      </c>
      <c r="H34" s="19">
        <f>SUM(H20:H33)</f>
        <v>37080.000000000007</v>
      </c>
      <c r="I34" s="18"/>
      <c r="T34" s="3" t="s">
        <v>54</v>
      </c>
      <c r="W34" s="9">
        <f>SUM(W20:W33)</f>
        <v>759500</v>
      </c>
      <c r="X34" s="9">
        <f>SUM(X20:X33)</f>
        <v>552510.54</v>
      </c>
    </row>
    <row r="35" spans="2:24" ht="15" customHeight="1">
      <c r="T35" s="3" t="s">
        <v>55</v>
      </c>
      <c r="W35" s="9">
        <f>W34-X34</f>
        <v>206989.45999999996</v>
      </c>
    </row>
    <row r="36" spans="2:24" ht="16.5" customHeight="1">
      <c r="B36" s="11" t="s">
        <v>56</v>
      </c>
      <c r="J36" s="11" t="s">
        <v>71</v>
      </c>
    </row>
    <row r="37" spans="2:24" ht="27" customHeight="1">
      <c r="B37" s="76" t="s">
        <v>57</v>
      </c>
      <c r="C37" s="76"/>
      <c r="D37" s="76" t="s">
        <v>58</v>
      </c>
      <c r="E37" s="76"/>
      <c r="F37" s="12" t="s">
        <v>59</v>
      </c>
      <c r="G37" s="12" t="s">
        <v>43</v>
      </c>
      <c r="H37" s="76" t="s">
        <v>60</v>
      </c>
      <c r="I37" s="76"/>
      <c r="J37" s="76" t="s">
        <v>72</v>
      </c>
      <c r="K37" s="76"/>
      <c r="L37" s="12" t="s">
        <v>73</v>
      </c>
      <c r="M37" s="12" t="s">
        <v>74</v>
      </c>
      <c r="N37" s="12" t="s">
        <v>58</v>
      </c>
      <c r="O37" s="12" t="s">
        <v>75</v>
      </c>
      <c r="P37" s="76" t="s">
        <v>60</v>
      </c>
      <c r="Q37" s="76"/>
    </row>
    <row r="38" spans="2:24" ht="19.5" customHeight="1">
      <c r="B38" s="77" t="s">
        <v>61</v>
      </c>
      <c r="C38" s="77"/>
      <c r="D38" s="68">
        <f>IFERROR(INDEX(단가마스터!$F$6:$F$20,MATCH($B38,단가마스터!$C$6:$C$20,0)),"")</f>
        <v>230</v>
      </c>
      <c r="E38" s="68"/>
      <c r="F38" s="15">
        <f>IF($C$14="",0,$C$14*IFERROR(INDEX(단가마스터!$H$6:$H$20,MATCH($B38,단가마스터!$C$6:$C$20,0)),1))</f>
        <v>1000</v>
      </c>
      <c r="G38" s="14">
        <f>IF(D38="","",D38*F38)</f>
        <v>230000</v>
      </c>
      <c r="H38" s="73" t="s">
        <v>62</v>
      </c>
      <c r="I38" s="73"/>
      <c r="J38" s="77" t="s">
        <v>76</v>
      </c>
      <c r="K38" s="77"/>
      <c r="L38" s="20" t="s">
        <v>77</v>
      </c>
      <c r="M38" s="14">
        <v>1</v>
      </c>
      <c r="N38" s="14">
        <f>$R$13</f>
        <v>2000000</v>
      </c>
      <c r="O38" s="14">
        <f>IF(M38="","",M38*N38)</f>
        <v>2000000</v>
      </c>
      <c r="P38" s="78" t="s">
        <v>78</v>
      </c>
      <c r="Q38" s="78"/>
    </row>
    <row r="39" spans="2:24" ht="19.5" customHeight="1">
      <c r="B39" s="77" t="s">
        <v>63</v>
      </c>
      <c r="C39" s="77"/>
      <c r="D39" s="68">
        <f>IFERROR(INDEX(단가마스터!$F$6:$F$20,MATCH($B39,단가마스터!$C$6:$C$20,0)),"")</f>
        <v>240</v>
      </c>
      <c r="E39" s="68"/>
      <c r="F39" s="15">
        <f>IF($C$14="",0,$C$14*IFERROR(INDEX(단가마스터!$H$6:$H$20,MATCH($B39,단가마스터!$C$6:$C$20,0)),1))</f>
        <v>1000</v>
      </c>
      <c r="G39" s="14">
        <f>IF(D39="","",D39*F39)</f>
        <v>240000</v>
      </c>
      <c r="H39" s="73" t="s">
        <v>64</v>
      </c>
      <c r="I39" s="73"/>
      <c r="J39" s="77"/>
      <c r="K39" s="77"/>
      <c r="L39" s="20"/>
      <c r="M39" s="15"/>
      <c r="N39" s="14"/>
      <c r="O39" s="14" t="str">
        <f>IF(M39="","",M39*N39)</f>
        <v/>
      </c>
      <c r="P39" s="78"/>
      <c r="Q39" s="78"/>
    </row>
    <row r="40" spans="2:24" ht="19.5" customHeight="1">
      <c r="B40" s="77" t="s">
        <v>65</v>
      </c>
      <c r="C40" s="77"/>
      <c r="D40" s="68">
        <f>IFERROR(INDEX(단가마스터!$F$6:$F$20,MATCH($B40,단가마스터!$C$6:$C$20,0)),"")</f>
        <v>8</v>
      </c>
      <c r="E40" s="68"/>
      <c r="F40" s="15">
        <f>IF($C$14="",0,$C$14*IFERROR(INDEX(단가마스터!$H$6:$H$20,MATCH($B40,단가마스터!$C$6:$C$20,0)),1))</f>
        <v>1000</v>
      </c>
      <c r="G40" s="14">
        <f>IF(D40="","",D40*F40)</f>
        <v>8000</v>
      </c>
      <c r="H40" s="73" t="s">
        <v>66</v>
      </c>
      <c r="I40" s="73"/>
      <c r="J40" s="77"/>
      <c r="K40" s="77"/>
      <c r="L40" s="20"/>
      <c r="M40" s="15"/>
      <c r="N40" s="14"/>
      <c r="O40" s="14" t="str">
        <f>IF(M40="","",M40*N40)</f>
        <v/>
      </c>
      <c r="P40" s="78"/>
      <c r="Q40" s="78"/>
    </row>
    <row r="41" spans="2:24" ht="19.5" customHeight="1">
      <c r="B41" s="72" t="s">
        <v>67</v>
      </c>
      <c r="C41" s="72"/>
      <c r="D41" s="68">
        <f>IFERROR(INDEX(단가마스터!$F$6:$F$20,MATCH($B41,단가마스터!$C$6:$C$20,0)),"")</f>
        <v>8</v>
      </c>
      <c r="E41" s="68"/>
      <c r="F41" s="15">
        <f>IF($C$14="",0,$C$14*IFERROR(INDEX(단가마스터!$H$6:$H$20,MATCH($B41,단가마스터!$C$6:$C$20,0)),1))</f>
        <v>1000</v>
      </c>
      <c r="G41" s="14">
        <f>IF(D41="","",D41*F41)</f>
        <v>8000</v>
      </c>
      <c r="H41" s="73" t="s">
        <v>68</v>
      </c>
      <c r="I41" s="73"/>
      <c r="J41" s="77"/>
      <c r="K41" s="77"/>
      <c r="L41" s="20"/>
      <c r="M41" s="15"/>
      <c r="N41" s="14"/>
      <c r="O41" s="14" t="str">
        <f>IF(M41="","",M41*N41)</f>
        <v/>
      </c>
      <c r="P41" s="78"/>
      <c r="Q41" s="78"/>
    </row>
    <row r="42" spans="2:24" ht="19.5" customHeight="1" thickBot="1">
      <c r="B42" s="77" t="s">
        <v>69</v>
      </c>
      <c r="C42" s="77"/>
      <c r="D42" s="68">
        <f>IFERROR(INDEX(단가마스터!$F$6:$F$20,MATCH($B42,단가마스터!$C$6:$C$20,0)),"")</f>
        <v>1800</v>
      </c>
      <c r="E42" s="68"/>
      <c r="F42" s="15">
        <f>IF($C$14="",0,$C$14*IFERROR(INDEX(단가마스터!$H$6:$H$20,MATCH($B42,단가마스터!$C$6:$C$20,0)),1))</f>
        <v>20</v>
      </c>
      <c r="G42" s="14">
        <f>IF(D42="","",D42*F42)</f>
        <v>36000</v>
      </c>
      <c r="H42" s="73" t="s">
        <v>70</v>
      </c>
      <c r="I42" s="73"/>
      <c r="J42" s="72"/>
      <c r="K42" s="72"/>
      <c r="L42" s="20"/>
      <c r="M42" s="15"/>
      <c r="N42" s="14"/>
      <c r="O42" s="14" t="str">
        <f>IF(M42="","",M42*N42)</f>
        <v/>
      </c>
      <c r="P42" s="73"/>
      <c r="Q42" s="73"/>
    </row>
    <row r="43" spans="2:24" ht="19.5" customHeight="1">
      <c r="B43" s="74" t="s">
        <v>53</v>
      </c>
      <c r="C43" s="74"/>
      <c r="D43" s="74"/>
      <c r="E43" s="74"/>
      <c r="F43" s="74"/>
      <c r="G43" s="19">
        <f>SUM(G38:G42)</f>
        <v>522000</v>
      </c>
      <c r="H43" s="75"/>
      <c r="I43" s="75"/>
      <c r="J43" s="74" t="s">
        <v>79</v>
      </c>
      <c r="K43" s="74"/>
      <c r="L43" s="74"/>
      <c r="M43" s="74"/>
      <c r="N43" s="74"/>
      <c r="O43" s="19">
        <f>SUM(O38:O42)</f>
        <v>2000000</v>
      </c>
      <c r="P43" s="75"/>
      <c r="Q43" s="75"/>
    </row>
    <row r="44" spans="2:24" ht="15" customHeight="1">
      <c r="B44" s="11" t="s">
        <v>80</v>
      </c>
    </row>
    <row r="45" spans="2:24" ht="24" customHeight="1">
      <c r="B45" s="76" t="s">
        <v>34</v>
      </c>
      <c r="C45" s="76"/>
      <c r="D45" s="76" t="s">
        <v>81</v>
      </c>
      <c r="E45" s="76"/>
      <c r="F45" s="76" t="s">
        <v>81</v>
      </c>
      <c r="G45" s="76"/>
      <c r="H45" s="76" t="s">
        <v>82</v>
      </c>
      <c r="I45" s="76"/>
      <c r="K45" s="3"/>
    </row>
    <row r="46" spans="2:24" ht="16.5" customHeight="1">
      <c r="B46" s="67">
        <v>1000</v>
      </c>
      <c r="C46" s="67"/>
      <c r="D46" s="68">
        <f>$R$11</f>
        <v>3800</v>
      </c>
      <c r="E46" s="68"/>
      <c r="F46" s="69">
        <f>$R$11</f>
        <v>3800</v>
      </c>
      <c r="G46" s="69"/>
      <c r="H46" s="68">
        <f>$R$11*B46</f>
        <v>3800000</v>
      </c>
      <c r="I46" s="68"/>
      <c r="K46" s="21"/>
    </row>
    <row r="47" spans="2:24" ht="16.5" customHeight="1">
      <c r="B47" s="67">
        <v>2000</v>
      </c>
      <c r="C47" s="67"/>
      <c r="D47" s="68">
        <f>$R$11</f>
        <v>3800</v>
      </c>
      <c r="E47" s="68"/>
      <c r="F47" s="69">
        <f>$R$11</f>
        <v>3800</v>
      </c>
      <c r="G47" s="69"/>
      <c r="H47" s="68">
        <f>$R$11*B47</f>
        <v>7600000</v>
      </c>
      <c r="I47" s="68"/>
      <c r="K47" s="21"/>
    </row>
    <row r="48" spans="2:24" ht="16.5" customHeight="1">
      <c r="B48" s="67">
        <v>3000</v>
      </c>
      <c r="C48" s="67"/>
      <c r="D48" s="68">
        <f>$R$11</f>
        <v>3800</v>
      </c>
      <c r="E48" s="68"/>
      <c r="F48" s="69">
        <f>$R$11</f>
        <v>3800</v>
      </c>
      <c r="G48" s="69"/>
      <c r="H48" s="68">
        <f>$R$11*B48</f>
        <v>11400000</v>
      </c>
      <c r="I48" s="68"/>
      <c r="K48" s="21"/>
    </row>
    <row r="50" spans="2:9" ht="15" customHeight="1">
      <c r="B50" s="22" t="s">
        <v>60</v>
      </c>
      <c r="F50" s="11" t="s">
        <v>83</v>
      </c>
    </row>
    <row r="51" spans="2:9" ht="19.5" customHeight="1">
      <c r="B51" s="70" t="s">
        <v>84</v>
      </c>
      <c r="C51" s="70"/>
      <c r="D51" s="70"/>
      <c r="E51" s="70"/>
      <c r="F51" s="1" t="s">
        <v>85</v>
      </c>
      <c r="G51" s="71" t="s">
        <v>86</v>
      </c>
      <c r="H51" s="71"/>
      <c r="I51" s="1" t="s">
        <v>60</v>
      </c>
    </row>
    <row r="52" spans="2:9" ht="16.5" customHeight="1">
      <c r="B52" s="70"/>
      <c r="C52" s="70"/>
      <c r="D52" s="70"/>
      <c r="E52" s="70"/>
      <c r="F52" s="23" t="s">
        <v>87</v>
      </c>
      <c r="G52" s="68">
        <f>G34</f>
        <v>552510.53999999992</v>
      </c>
      <c r="H52" s="68"/>
      <c r="I52" s="24" t="str">
        <f>IF($C$14=0,"",TEXT(G52/$C$14,"#,##0.0")&amp;" 원/set")</f>
        <v>552.5 원/set</v>
      </c>
    </row>
    <row r="53" spans="2:9" ht="16.5" customHeight="1">
      <c r="B53" s="70"/>
      <c r="C53" s="70"/>
      <c r="D53" s="70"/>
      <c r="E53" s="70"/>
      <c r="F53" s="23" t="s">
        <v>88</v>
      </c>
      <c r="G53" s="68">
        <f>G43</f>
        <v>522000</v>
      </c>
      <c r="H53" s="68"/>
      <c r="I53" s="24" t="str">
        <f>IF($C$14=0,"",TEXT(G53/$C$14,"#,##0.0")&amp;" 원/set")</f>
        <v>522.0 원/set</v>
      </c>
    </row>
    <row r="54" spans="2:9" ht="16.5" customHeight="1">
      <c r="B54" s="70"/>
      <c r="C54" s="70"/>
      <c r="D54" s="70"/>
      <c r="E54" s="70"/>
      <c r="F54" s="23" t="s">
        <v>89</v>
      </c>
      <c r="G54" s="68">
        <f>O43</f>
        <v>2000000</v>
      </c>
      <c r="H54" s="68"/>
      <c r="I54" s="24" t="str">
        <f>IF($C$14=0,"",TEXT(G54/$C$14,"#,##0.0")&amp;" 원/set")</f>
        <v>2,000.0 원/set</v>
      </c>
    </row>
    <row r="55" spans="2:9" ht="16.5" customHeight="1">
      <c r="B55" s="70"/>
      <c r="C55" s="70"/>
      <c r="D55" s="70"/>
      <c r="E55" s="70"/>
      <c r="F55" s="25" t="s">
        <v>90</v>
      </c>
      <c r="G55" s="69">
        <f>SUM(G52:G54)</f>
        <v>3074510.54</v>
      </c>
      <c r="H55" s="69"/>
      <c r="I55" s="24" t="str">
        <f>IF($C$14=0,"",TEXT(G55/$C$14,"#,##0.0")&amp;" 원/set")</f>
        <v>3,074.5 원/set</v>
      </c>
    </row>
    <row r="56" spans="2:9" ht="16.5" customHeight="1">
      <c r="B56" s="70"/>
      <c r="C56" s="70"/>
      <c r="D56" s="70"/>
      <c r="E56" s="70"/>
      <c r="F56" s="23" t="s">
        <v>91</v>
      </c>
      <c r="G56" s="68">
        <f>$R$11*$C$14-$G$55</f>
        <v>725489.46</v>
      </c>
      <c r="H56" s="68"/>
      <c r="I56" s="24" t="str">
        <f>IF($C$14=0,"",TEXT(G56/$C$14,"#,##0.0")&amp;" 원/set")</f>
        <v>725.5 원/set</v>
      </c>
    </row>
    <row r="57" spans="2:9" ht="16.5" customHeight="1">
      <c r="B57" s="70"/>
      <c r="C57" s="70"/>
      <c r="D57" s="70"/>
      <c r="E57" s="70"/>
      <c r="F57" s="96" t="s">
        <v>53</v>
      </c>
      <c r="G57" s="97">
        <f>$R$11*$C$14</f>
        <v>3800000</v>
      </c>
      <c r="H57" s="97"/>
      <c r="I57" s="98" t="str">
        <f>IF($C$14=0,"",TEXT($R$11,"#,##0")&amp;" 원/set")</f>
        <v>3,800 원/set</v>
      </c>
    </row>
    <row r="59" spans="2:9" ht="15" customHeight="1">
      <c r="B59" s="65" t="str">
        <f ca="1">"No. M-"&amp;TEXT(TODAY(),"yyyymmdd")&amp;"-0001"</f>
        <v>No. M-20260830-0001</v>
      </c>
      <c r="C59" s="65"/>
      <c r="D59" s="65"/>
      <c r="G59" s="66" t="s">
        <v>92</v>
      </c>
      <c r="H59" s="66"/>
      <c r="I59" s="66"/>
    </row>
  </sheetData>
  <mergeCells count="96">
    <mergeCell ref="B2:I2"/>
    <mergeCell ref="B4:D4"/>
    <mergeCell ref="E4:E9"/>
    <mergeCell ref="G4:I4"/>
    <mergeCell ref="B6:C6"/>
    <mergeCell ref="G6:I6"/>
    <mergeCell ref="G7:I7"/>
    <mergeCell ref="B8:D8"/>
    <mergeCell ref="G8:I8"/>
    <mergeCell ref="G9:I9"/>
    <mergeCell ref="C11:D11"/>
    <mergeCell ref="F11:I11"/>
    <mergeCell ref="C12:D12"/>
    <mergeCell ref="F12:I12"/>
    <mergeCell ref="C13:D13"/>
    <mergeCell ref="F13:I13"/>
    <mergeCell ref="C14:D14"/>
    <mergeCell ref="F14:I14"/>
    <mergeCell ref="B16:C16"/>
    <mergeCell ref="D16:I16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7:C37"/>
    <mergeCell ref="D37:E37"/>
    <mergeCell ref="H37:I37"/>
    <mergeCell ref="B38:C38"/>
    <mergeCell ref="D38:E38"/>
    <mergeCell ref="H38:I38"/>
    <mergeCell ref="B39:C39"/>
    <mergeCell ref="D39:E39"/>
    <mergeCell ref="H39:I39"/>
    <mergeCell ref="B40:C40"/>
    <mergeCell ref="D40:E40"/>
    <mergeCell ref="H40:I40"/>
    <mergeCell ref="B41:C41"/>
    <mergeCell ref="D41:E41"/>
    <mergeCell ref="H41:I41"/>
    <mergeCell ref="B42:C42"/>
    <mergeCell ref="D42:E42"/>
    <mergeCell ref="H42:I42"/>
    <mergeCell ref="B43:F43"/>
    <mergeCell ref="H43:I43"/>
    <mergeCell ref="J37:K37"/>
    <mergeCell ref="P37:Q37"/>
    <mergeCell ref="J38:K38"/>
    <mergeCell ref="P38:Q38"/>
    <mergeCell ref="J39:K39"/>
    <mergeCell ref="P39:Q39"/>
    <mergeCell ref="J40:K40"/>
    <mergeCell ref="P40:Q40"/>
    <mergeCell ref="J41:K41"/>
    <mergeCell ref="P41:Q41"/>
    <mergeCell ref="J42:K42"/>
    <mergeCell ref="P42:Q42"/>
    <mergeCell ref="J43:N43"/>
    <mergeCell ref="P43:Q43"/>
    <mergeCell ref="B45:C45"/>
    <mergeCell ref="D45:E45"/>
    <mergeCell ref="F45:G45"/>
    <mergeCell ref="H45:I45"/>
    <mergeCell ref="B46:C46"/>
    <mergeCell ref="D46:E46"/>
    <mergeCell ref="F46:G46"/>
    <mergeCell ref="H46:I46"/>
    <mergeCell ref="B47:C47"/>
    <mergeCell ref="D47:E47"/>
    <mergeCell ref="F47:G47"/>
    <mergeCell ref="H47:I47"/>
    <mergeCell ref="B59:D59"/>
    <mergeCell ref="G59:I59"/>
    <mergeCell ref="B48:C48"/>
    <mergeCell ref="D48:E48"/>
    <mergeCell ref="F48:G48"/>
    <mergeCell ref="H48:I48"/>
    <mergeCell ref="B51:E57"/>
    <mergeCell ref="G51:H51"/>
    <mergeCell ref="G52:H52"/>
    <mergeCell ref="G53:H53"/>
    <mergeCell ref="G54:H54"/>
    <mergeCell ref="G55:H55"/>
    <mergeCell ref="G56:H56"/>
    <mergeCell ref="G57:H57"/>
  </mergeCells>
  <phoneticPr fontId="45" type="noConversion"/>
  <conditionalFormatting sqref="B46:I48">
    <cfRule type="expression" dxfId="0" priority="3">
      <formula>$B46=IFERROR(LOOKUP($C14,$B$46:$B$48),$B$46)</formula>
    </cfRule>
  </conditionalFormatting>
  <pageMargins left="0.75" right="0.75" top="1" bottom="1" header="0.511811023622047" footer="0.511811023622047"/>
  <pageSetup paperSize="9" scale="48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단가마스터!$C$6:$C$13</xm:f>
          </x14:formula1>
          <x14:formula2>
            <xm:f>0</xm:f>
          </x14:formula2>
          <xm:sqref>B20:B33</xm:sqref>
        </x14:dataValidation>
        <x14:dataValidation type="list" allowBlank="1" xr:uid="{00000000-0002-0000-0000-000001000000}">
          <x14:formula1>
            <xm:f>단가마스터!$C$14:$C$20</xm:f>
          </x14:formula1>
          <x14:formula2>
            <xm:f>0</xm:f>
          </x14:formula2>
          <xm:sqref>B38:B42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25"/>
  <sheetViews>
    <sheetView showGridLines="0" zoomScaleNormal="100" workbookViewId="0"/>
  </sheetViews>
  <sheetFormatPr defaultColWidth="8.7109375" defaultRowHeight="15"/>
  <cols>
    <col min="2" max="2" width="8" customWidth="1"/>
    <col min="3" max="3" width="24" customWidth="1"/>
    <col min="4" max="4" width="20" customWidth="1"/>
    <col min="5" max="5" width="14" customWidth="1"/>
    <col min="6" max="6" width="13" customWidth="1"/>
    <col min="7" max="7" width="14" customWidth="1"/>
    <col min="8" max="8" width="12" customWidth="1"/>
    <col min="9" max="9" width="14" customWidth="1"/>
    <col min="10" max="10" width="26" customWidth="1"/>
  </cols>
  <sheetData>
    <row r="2" spans="2:10" ht="17.25" customHeight="1">
      <c r="B2" s="26" t="s">
        <v>93</v>
      </c>
    </row>
    <row r="3" spans="2:10" ht="15" customHeight="1">
      <c r="B3" s="27" t="s">
        <v>94</v>
      </c>
    </row>
    <row r="5" spans="2:10" ht="15" customHeight="1">
      <c r="B5" s="28" t="s">
        <v>85</v>
      </c>
      <c r="C5" s="28" t="s">
        <v>95</v>
      </c>
      <c r="D5" s="28" t="s">
        <v>96</v>
      </c>
      <c r="E5" s="28" t="s">
        <v>97</v>
      </c>
      <c r="F5" s="28" t="s">
        <v>98</v>
      </c>
      <c r="G5" s="28" t="s">
        <v>99</v>
      </c>
      <c r="H5" s="29" t="s">
        <v>100</v>
      </c>
      <c r="I5" s="28" t="s">
        <v>101</v>
      </c>
      <c r="J5" s="28" t="s">
        <v>60</v>
      </c>
    </row>
    <row r="6" spans="2:10" ht="15" customHeight="1">
      <c r="B6" s="30" t="s">
        <v>102</v>
      </c>
      <c r="C6" s="31" t="s">
        <v>50</v>
      </c>
      <c r="D6" s="31" t="s">
        <v>103</v>
      </c>
      <c r="E6" s="32">
        <v>20</v>
      </c>
      <c r="F6" s="32">
        <v>15000</v>
      </c>
      <c r="G6" s="33">
        <f>E6*F6</f>
        <v>300000</v>
      </c>
      <c r="H6" s="34"/>
      <c r="I6" s="35">
        <v>46264</v>
      </c>
      <c r="J6" s="36" t="s">
        <v>104</v>
      </c>
    </row>
    <row r="7" spans="2:10" ht="15" customHeight="1">
      <c r="B7" s="30" t="s">
        <v>102</v>
      </c>
      <c r="C7" s="31" t="s">
        <v>52</v>
      </c>
      <c r="D7" s="31" t="s">
        <v>103</v>
      </c>
      <c r="E7" s="32">
        <v>15</v>
      </c>
      <c r="F7" s="32">
        <v>6100</v>
      </c>
      <c r="G7" s="33">
        <f>E7*F7</f>
        <v>91500</v>
      </c>
      <c r="H7" s="34"/>
      <c r="I7" s="35">
        <v>46264</v>
      </c>
      <c r="J7" s="36" t="s">
        <v>105</v>
      </c>
    </row>
    <row r="8" spans="2:10" ht="15" customHeight="1">
      <c r="B8" s="30" t="s">
        <v>102</v>
      </c>
      <c r="C8" s="31" t="s">
        <v>51</v>
      </c>
      <c r="D8" s="31" t="s">
        <v>103</v>
      </c>
      <c r="E8" s="32">
        <v>17</v>
      </c>
      <c r="F8" s="32">
        <v>4000</v>
      </c>
      <c r="G8" s="33">
        <f>E8*F8</f>
        <v>68000</v>
      </c>
      <c r="H8" s="34"/>
      <c r="I8" s="35">
        <v>46264</v>
      </c>
      <c r="J8" s="36" t="s">
        <v>106</v>
      </c>
    </row>
    <row r="9" spans="2:10" ht="15" customHeight="1">
      <c r="B9" s="30" t="s">
        <v>102</v>
      </c>
      <c r="C9" s="31"/>
      <c r="D9" s="31"/>
      <c r="E9" s="37"/>
      <c r="F9" s="37"/>
      <c r="G9" s="33"/>
      <c r="H9" s="34"/>
      <c r="I9" s="35"/>
      <c r="J9" s="36"/>
    </row>
    <row r="10" spans="2:10" ht="15" customHeight="1">
      <c r="B10" s="30" t="s">
        <v>102</v>
      </c>
      <c r="C10" s="31"/>
      <c r="D10" s="31"/>
      <c r="E10" s="37"/>
      <c r="F10" s="37"/>
      <c r="G10" s="33"/>
      <c r="H10" s="34"/>
      <c r="I10" s="35"/>
      <c r="J10" s="36"/>
    </row>
    <row r="11" spans="2:10" ht="15" customHeight="1">
      <c r="B11" s="30" t="s">
        <v>102</v>
      </c>
      <c r="C11" s="31"/>
      <c r="D11" s="31"/>
      <c r="E11" s="37"/>
      <c r="F11" s="37"/>
      <c r="G11" s="33"/>
      <c r="H11" s="34"/>
      <c r="I11" s="35"/>
      <c r="J11" s="36"/>
    </row>
    <row r="12" spans="2:10" ht="15" customHeight="1">
      <c r="B12" s="30" t="s">
        <v>102</v>
      </c>
      <c r="C12" s="31"/>
      <c r="D12" s="31"/>
      <c r="E12" s="37"/>
      <c r="F12" s="37"/>
      <c r="G12" s="33"/>
      <c r="H12" s="34"/>
      <c r="I12" s="35"/>
      <c r="J12" s="36"/>
    </row>
    <row r="13" spans="2:10" ht="15" customHeight="1">
      <c r="B13" s="30" t="s">
        <v>102</v>
      </c>
      <c r="C13" s="31"/>
      <c r="D13" s="31"/>
      <c r="E13" s="37"/>
      <c r="F13" s="37"/>
      <c r="G13" s="33"/>
      <c r="H13" s="34"/>
      <c r="I13" s="35"/>
      <c r="J13" s="36"/>
    </row>
    <row r="14" spans="2:10" ht="15" customHeight="1">
      <c r="B14" s="30" t="s">
        <v>107</v>
      </c>
      <c r="C14" s="31" t="s">
        <v>61</v>
      </c>
      <c r="D14" s="38" t="s">
        <v>108</v>
      </c>
      <c r="E14" s="32">
        <v>1</v>
      </c>
      <c r="F14" s="32">
        <v>230</v>
      </c>
      <c r="G14" s="33">
        <f>E14*F14</f>
        <v>230</v>
      </c>
      <c r="H14" s="34">
        <v>1</v>
      </c>
      <c r="I14" s="35">
        <v>46264</v>
      </c>
      <c r="J14" s="39" t="s">
        <v>109</v>
      </c>
    </row>
    <row r="15" spans="2:10" ht="15" customHeight="1">
      <c r="B15" s="30" t="s">
        <v>107</v>
      </c>
      <c r="C15" s="31" t="s">
        <v>63</v>
      </c>
      <c r="D15" s="38" t="s">
        <v>110</v>
      </c>
      <c r="E15" s="32">
        <v>1000</v>
      </c>
      <c r="F15" s="32">
        <v>240</v>
      </c>
      <c r="G15" s="33">
        <v>240000</v>
      </c>
      <c r="H15" s="34">
        <v>1</v>
      </c>
      <c r="I15" s="35">
        <v>46264</v>
      </c>
      <c r="J15" s="36" t="s">
        <v>111</v>
      </c>
    </row>
    <row r="16" spans="2:10" ht="15" customHeight="1">
      <c r="B16" s="30" t="s">
        <v>107</v>
      </c>
      <c r="C16" s="31" t="s">
        <v>65</v>
      </c>
      <c r="D16" s="38" t="s">
        <v>112</v>
      </c>
      <c r="E16" s="32">
        <v>12000</v>
      </c>
      <c r="F16" s="32">
        <v>8</v>
      </c>
      <c r="G16" s="33">
        <v>96000</v>
      </c>
      <c r="H16" s="34">
        <v>1</v>
      </c>
      <c r="I16" s="35">
        <v>46264</v>
      </c>
      <c r="J16" s="39" t="s">
        <v>113</v>
      </c>
    </row>
    <row r="17" spans="2:10" ht="15" customHeight="1">
      <c r="B17" s="30" t="s">
        <v>107</v>
      </c>
      <c r="C17" s="38" t="s">
        <v>114</v>
      </c>
      <c r="D17" s="38" t="s">
        <v>115</v>
      </c>
      <c r="E17" s="32">
        <v>2856</v>
      </c>
      <c r="F17" s="32">
        <v>8</v>
      </c>
      <c r="G17" s="33">
        <v>19000</v>
      </c>
      <c r="H17" s="34">
        <v>1</v>
      </c>
      <c r="I17" s="35">
        <v>46264</v>
      </c>
      <c r="J17" s="36" t="s">
        <v>116</v>
      </c>
    </row>
    <row r="18" spans="2:10" ht="15" customHeight="1">
      <c r="B18" s="30" t="s">
        <v>107</v>
      </c>
      <c r="C18" s="31" t="s">
        <v>69</v>
      </c>
      <c r="D18" s="38" t="s">
        <v>117</v>
      </c>
      <c r="E18" s="32">
        <v>50</v>
      </c>
      <c r="F18" s="32">
        <v>1800</v>
      </c>
      <c r="G18" s="33">
        <v>1800</v>
      </c>
      <c r="H18" s="34">
        <f>1/50</f>
        <v>0.02</v>
      </c>
      <c r="I18" s="35">
        <v>46264</v>
      </c>
      <c r="J18" s="36" t="s">
        <v>118</v>
      </c>
    </row>
    <row r="19" spans="2:10" ht="15" customHeight="1">
      <c r="B19" s="30" t="s">
        <v>107</v>
      </c>
      <c r="C19" s="31"/>
      <c r="D19" s="31"/>
      <c r="E19" s="37"/>
      <c r="F19" s="37"/>
      <c r="G19" s="33"/>
      <c r="H19" s="34"/>
      <c r="I19" s="35"/>
      <c r="J19" s="39"/>
    </row>
    <row r="20" spans="2:10" ht="15" customHeight="1">
      <c r="B20" s="30" t="s">
        <v>107</v>
      </c>
      <c r="C20" s="31"/>
      <c r="D20" s="31"/>
      <c r="E20" s="37"/>
      <c r="F20" s="37"/>
      <c r="G20" s="33"/>
      <c r="H20" s="34"/>
      <c r="I20" s="35"/>
      <c r="J20" s="39"/>
    </row>
    <row r="22" spans="2:10" ht="15" customHeight="1">
      <c r="B22" s="40" t="s">
        <v>119</v>
      </c>
      <c r="C22" s="27" t="s">
        <v>120</v>
      </c>
    </row>
    <row r="23" spans="2:10" ht="15" customHeight="1">
      <c r="B23" s="40" t="s">
        <v>97</v>
      </c>
      <c r="C23" s="27" t="s">
        <v>121</v>
      </c>
    </row>
    <row r="24" spans="2:10" ht="15" customHeight="1">
      <c r="B24" s="40" t="s">
        <v>99</v>
      </c>
      <c r="C24" s="27" t="s">
        <v>122</v>
      </c>
    </row>
    <row r="25" spans="2:10" ht="15" customHeight="1">
      <c r="B25" s="41" t="s">
        <v>123</v>
      </c>
      <c r="C25" s="42" t="s">
        <v>124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51"/>
  <sheetViews>
    <sheetView showGridLines="0" zoomScaleNormal="100" workbookViewId="0"/>
  </sheetViews>
  <sheetFormatPr defaultColWidth="8.7109375" defaultRowHeight="15"/>
  <cols>
    <col min="2" max="2" width="32" customWidth="1"/>
    <col min="3" max="3" width="14" customWidth="1"/>
    <col min="4" max="7" width="15" customWidth="1"/>
    <col min="8" max="8" width="38" customWidth="1"/>
    <col min="9" max="9" width="13" customWidth="1"/>
  </cols>
  <sheetData>
    <row r="2" spans="2:9" ht="21" customHeight="1">
      <c r="B2" s="26" t="s">
        <v>125</v>
      </c>
    </row>
    <row r="3" spans="2:9" ht="15" customHeight="1">
      <c r="B3" s="43" t="s">
        <v>126</v>
      </c>
    </row>
    <row r="4" spans="2:9" ht="15" customHeight="1">
      <c r="B4" s="43" t="s">
        <v>127</v>
      </c>
    </row>
    <row r="6" spans="2:9" ht="15" customHeight="1">
      <c r="B6" s="40" t="s">
        <v>128</v>
      </c>
      <c r="E6" s="44">
        <v>1000</v>
      </c>
      <c r="F6" s="44">
        <v>2000</v>
      </c>
      <c r="G6" s="44">
        <v>3000</v>
      </c>
    </row>
    <row r="7" spans="2:9" ht="15" customHeight="1">
      <c r="B7" s="45" t="s">
        <v>129</v>
      </c>
      <c r="C7" s="28" t="s">
        <v>130</v>
      </c>
      <c r="D7" s="28" t="s">
        <v>131</v>
      </c>
      <c r="E7" s="46">
        <f>E$6</f>
        <v>1000</v>
      </c>
      <c r="F7" s="46">
        <f>F$6</f>
        <v>2000</v>
      </c>
      <c r="G7" s="46">
        <f>G$6</f>
        <v>3000</v>
      </c>
    </row>
    <row r="8" spans="2:9" ht="15" customHeight="1">
      <c r="B8" s="47" t="str">
        <f>제조견적서!$B$20</f>
        <v>양배추추출분말</v>
      </c>
      <c r="C8" s="33">
        <f>제조견적서!$T$20</f>
        <v>20</v>
      </c>
      <c r="D8" s="33">
        <f>제조견적서!$F$20</f>
        <v>15000</v>
      </c>
      <c r="E8" s="33">
        <f>IF(N($C8)=0,0,ROUNDUP(E$6*제조견적서!$D$20*제조견적서!$F$12/100*제조견적서!$F$13*(1+제조견적서!$R$3)/1000000/$C8,0)*$C8*$D8)</f>
        <v>600000</v>
      </c>
      <c r="F8" s="33">
        <f>IF(N($C8)=0,0,ROUNDUP(F$6*제조견적서!$D$20*제조견적서!$F$12/100*제조견적서!$F$13*(1+제조견적서!$R$3)/1000000/$C8,0)*$C8*$D8)</f>
        <v>1200000</v>
      </c>
      <c r="G8" s="33">
        <f>IF(N($C8)=0,0,ROUNDUP(G$6*제조견적서!$D$20*제조견적서!$F$12/100*제조견적서!$F$13*(1+제조견적서!$R$3)/1000000/$C8,0)*$C8*$D8)</f>
        <v>1800000</v>
      </c>
    </row>
    <row r="9" spans="2:9" ht="15" customHeight="1">
      <c r="B9" s="47" t="str">
        <f>제조견적서!$B$21</f>
        <v>이산화규소</v>
      </c>
      <c r="C9" s="33">
        <f>제조견적서!$T$21</f>
        <v>17</v>
      </c>
      <c r="D9" s="33">
        <f>제조견적서!$F$21</f>
        <v>4000</v>
      </c>
      <c r="E9" s="33">
        <f>IF(N($C9)=0,0,ROUNDUP(E$6*제조견적서!$D$21*제조견적서!$F$12/100*제조견적서!$F$13*(1+제조견적서!$R$3)/1000000/$C9,0)*$C9*$D9)</f>
        <v>68000</v>
      </c>
      <c r="F9" s="33">
        <f>IF(N($C9)=0,0,ROUNDUP(F$6*제조견적서!$D$21*제조견적서!$F$12/100*제조견적서!$F$13*(1+제조견적서!$R$3)/1000000/$C9,0)*$C9*$D9)</f>
        <v>68000</v>
      </c>
      <c r="G9" s="33">
        <f>IF(N($C9)=0,0,ROUNDUP(G$6*제조견적서!$D$21*제조견적서!$F$12/100*제조견적서!$F$13*(1+제조견적서!$R$3)/1000000/$C9,0)*$C9*$D9)</f>
        <v>68000</v>
      </c>
    </row>
    <row r="10" spans="2:9" ht="15" customHeight="1">
      <c r="B10" s="47" t="str">
        <f>제조견적서!$B$22</f>
        <v>스테아린산마그네슘</v>
      </c>
      <c r="C10" s="33">
        <f>제조견적서!$T$22</f>
        <v>15</v>
      </c>
      <c r="D10" s="33">
        <f>제조견적서!$F$22</f>
        <v>6100</v>
      </c>
      <c r="E10" s="33">
        <f>IF(N($C10)=0,0,ROUNDUP(E$6*제조견적서!$D$22*제조견적서!$F$12/100*제조견적서!$F$13*(1+제조견적서!$R$3)/1000000/$C10,0)*$C10*$D10)</f>
        <v>91500</v>
      </c>
      <c r="F10" s="33">
        <f>IF(N($C10)=0,0,ROUNDUP(F$6*제조견적서!$D$22*제조견적서!$F$12/100*제조견적서!$F$13*(1+제조견적서!$R$3)/1000000/$C10,0)*$C10*$D10)</f>
        <v>91500</v>
      </c>
      <c r="G10" s="33">
        <f>IF(N($C10)=0,0,ROUNDUP(G$6*제조견적서!$D$22*제조견적서!$F$12/100*제조견적서!$F$13*(1+제조견적서!$R$3)/1000000/$C10,0)*$C10*$D10)</f>
        <v>91500</v>
      </c>
    </row>
    <row r="11" spans="2:9" ht="15" customHeight="1">
      <c r="B11" s="48" t="s">
        <v>79</v>
      </c>
      <c r="C11" s="49"/>
      <c r="D11" s="49"/>
      <c r="E11" s="50">
        <f>SUM(E8:E10)</f>
        <v>759500</v>
      </c>
      <c r="F11" s="50">
        <f>SUM(F8:F10)</f>
        <v>1359500</v>
      </c>
      <c r="G11" s="50">
        <f>SUM(G8:G10)</f>
        <v>1959500</v>
      </c>
    </row>
    <row r="12" spans="2:9" ht="15" customHeight="1">
      <c r="B12" s="51" t="s">
        <v>132</v>
      </c>
      <c r="C12" s="49"/>
      <c r="D12" s="49"/>
      <c r="E12" s="33">
        <f>SUMPRODUCT(E$6*제조견적서!$D$20:$D$22*제조견적서!$F$12/100*제조견적서!$F$13*(1+제조견적서!$R$3)/1000000,제조견적서!$F$20:$F$22)</f>
        <v>552510.53999999992</v>
      </c>
      <c r="F12" s="33">
        <f>SUMPRODUCT(F$6*제조견적서!$D$20:$D$22*제조견적서!$F$12/100*제조견적서!$F$13*(1+제조견적서!$R$3)/1000000,제조견적서!$F$20:$F$22)</f>
        <v>1105021.0799999998</v>
      </c>
      <c r="G12" s="33">
        <f>SUMPRODUCT(G$6*제조견적서!$D$20:$D$22*제조견적서!$F$12/100*제조견적서!$F$13*(1+제조견적서!$R$3)/1000000,제조견적서!$F$20:$F$22)</f>
        <v>1657531.62</v>
      </c>
    </row>
    <row r="13" spans="2:9" ht="15" customHeight="1">
      <c r="B13" s="48" t="s">
        <v>133</v>
      </c>
      <c r="C13" s="49"/>
      <c r="D13" s="49"/>
      <c r="E13" s="52">
        <f>E11-E12</f>
        <v>206989.46000000008</v>
      </c>
      <c r="F13" s="52">
        <f>F11-F12</f>
        <v>254478.92000000016</v>
      </c>
      <c r="G13" s="52">
        <f>G11-G12</f>
        <v>301968.37999999989</v>
      </c>
      <c r="H13" s="43" t="s">
        <v>134</v>
      </c>
    </row>
    <row r="15" spans="2:9" ht="15" customHeight="1">
      <c r="B15" s="40" t="s">
        <v>135</v>
      </c>
    </row>
    <row r="16" spans="2:9" ht="15" customHeight="1">
      <c r="B16" s="45" t="s">
        <v>136</v>
      </c>
      <c r="C16" s="28" t="s">
        <v>137</v>
      </c>
      <c r="D16" s="28" t="s">
        <v>99</v>
      </c>
      <c r="E16" s="46">
        <f>E$6</f>
        <v>1000</v>
      </c>
      <c r="F16" s="46">
        <f>F$6</f>
        <v>2000</v>
      </c>
      <c r="G16" s="46">
        <f>G$6</f>
        <v>3000</v>
      </c>
      <c r="I16" s="29" t="s">
        <v>138</v>
      </c>
    </row>
    <row r="17" spans="2:9" ht="15" customHeight="1">
      <c r="B17" s="51" t="str">
        <f>제조견적서!$B$38</f>
        <v>용기 + 캡 (100ml)</v>
      </c>
      <c r="C17" s="33">
        <f>IFERROR(INDEX(단가마스터!$E$6:$E$20,MATCH($B17,단가마스터!$C$6:$C$20,0)),"")</f>
        <v>1</v>
      </c>
      <c r="D17" s="33">
        <f>IFERROR(INDEX(단가마스터!$G$6:$G$20,MATCH($B17,단가마스터!$C$6:$C$20,0)),"")</f>
        <v>230</v>
      </c>
      <c r="E17" s="33">
        <f t="shared" ref="E17:G21" si="0">IF(N($C17)=0,0,ROUNDUP(E$6/$C17,0)*$D17)</f>
        <v>230000</v>
      </c>
      <c r="F17" s="33">
        <f t="shared" si="0"/>
        <v>460000</v>
      </c>
      <c r="G17" s="33">
        <f t="shared" si="0"/>
        <v>690000</v>
      </c>
      <c r="I17" s="53">
        <f>IFERROR(INDEX(단가마스터!$F$6:$F$20,MATCH($B17,단가마스터!$C$6:$C$20,0))*INDEX(단가마스터!$H$6:$H$20,MATCH($B17,단가마스터!$C$6:$C$20,0)),0)</f>
        <v>230</v>
      </c>
    </row>
    <row r="18" spans="2:9" ht="15" customHeight="1">
      <c r="B18" s="51" t="str">
        <f>제조견적서!$B$39</f>
        <v>라벨</v>
      </c>
      <c r="C18" s="33">
        <f>IFERROR(INDEX(단가마스터!$E$6:$E$20,MATCH($B18,단가마스터!$C$6:$C$20,0)),"")</f>
        <v>1000</v>
      </c>
      <c r="D18" s="33">
        <f>IFERROR(INDEX(단가마스터!$G$6:$G$20,MATCH($B18,단가마스터!$C$6:$C$20,0)),"")</f>
        <v>240000</v>
      </c>
      <c r="E18" s="33">
        <f t="shared" si="0"/>
        <v>240000</v>
      </c>
      <c r="F18" s="33">
        <f t="shared" si="0"/>
        <v>480000</v>
      </c>
      <c r="G18" s="33">
        <f t="shared" si="0"/>
        <v>720000</v>
      </c>
      <c r="I18" s="53">
        <f>IFERROR(INDEX(단가마스터!$F$6:$F$20,MATCH($B18,단가마스터!$C$6:$C$20,0))*INDEX(단가마스터!$H$6:$H$20,MATCH($B18,단가마스터!$C$6:$C$20,0)),0)</f>
        <v>240</v>
      </c>
    </row>
    <row r="19" spans="2:9" ht="15" customHeight="1">
      <c r="B19" s="51" t="str">
        <f>제조견적서!$B$40</f>
        <v>실리카겔 (1g)</v>
      </c>
      <c r="C19" s="33">
        <f>IFERROR(INDEX(단가마스터!$E$6:$E$20,MATCH($B19,단가마스터!$C$6:$C$20,0)),"")</f>
        <v>12000</v>
      </c>
      <c r="D19" s="33">
        <f>IFERROR(INDEX(단가마스터!$G$6:$G$20,MATCH($B19,단가마스터!$C$6:$C$20,0)),"")</f>
        <v>96000</v>
      </c>
      <c r="E19" s="33">
        <f t="shared" si="0"/>
        <v>96000</v>
      </c>
      <c r="F19" s="33">
        <f t="shared" si="0"/>
        <v>96000</v>
      </c>
      <c r="G19" s="33">
        <f t="shared" si="0"/>
        <v>96000</v>
      </c>
      <c r="I19" s="53">
        <f>IFERROR(INDEX(단가마스터!$F$6:$F$20,MATCH($B19,단가마스터!$C$6:$C$20,0))*INDEX(단가마스터!$H$6:$H$20,MATCH($B19,단가마스터!$C$6:$C$20,0)),0)</f>
        <v>8</v>
      </c>
    </row>
    <row r="20" spans="2:9" ht="15" customHeight="1">
      <c r="B20" s="51" t="str">
        <f>제조견적서!$B$41</f>
        <v>PE완충비닐</v>
      </c>
      <c r="C20" s="33">
        <f>IFERROR(INDEX(단가마스터!$E$6:$E$20,MATCH($B20,단가마스터!$C$6:$C$20,0)),"")</f>
        <v>2856</v>
      </c>
      <c r="D20" s="33">
        <f>IFERROR(INDEX(단가마스터!$G$6:$G$20,MATCH($B20,단가마스터!$C$6:$C$20,0)),"")</f>
        <v>19000</v>
      </c>
      <c r="E20" s="33">
        <f t="shared" si="0"/>
        <v>19000</v>
      </c>
      <c r="F20" s="33">
        <f t="shared" si="0"/>
        <v>19000</v>
      </c>
      <c r="G20" s="33">
        <f t="shared" si="0"/>
        <v>38000</v>
      </c>
      <c r="I20" s="53">
        <f>IFERROR(INDEX(단가마스터!$F$6:$F$20,MATCH($B20,단가마스터!$C$6:$C$20,0))*INDEX(단가마스터!$H$6:$H$20,MATCH($B20,단가마스터!$C$6:$C$20,0)),0)</f>
        <v>8</v>
      </c>
    </row>
    <row r="21" spans="2:9" ht="15" customHeight="1">
      <c r="B21" s="51" t="str">
        <f>제조견적서!$B$42</f>
        <v>운송용카톤</v>
      </c>
      <c r="C21" s="33">
        <f>IFERROR(INDEX(단가마스터!$E$6:$E$20,MATCH($B21,단가마스터!$C$6:$C$20,0)),"")</f>
        <v>50</v>
      </c>
      <c r="D21" s="33">
        <f>IFERROR(INDEX(단가마스터!$G$6:$G$20,MATCH($B21,단가마스터!$C$6:$C$20,0)),"")</f>
        <v>1800</v>
      </c>
      <c r="E21" s="33">
        <f t="shared" si="0"/>
        <v>36000</v>
      </c>
      <c r="F21" s="33">
        <f t="shared" si="0"/>
        <v>72000</v>
      </c>
      <c r="G21" s="33">
        <f t="shared" si="0"/>
        <v>108000</v>
      </c>
      <c r="I21" s="53">
        <f>IFERROR(INDEX(단가마스터!$F$6:$F$20,MATCH($B21,단가마스터!$C$6:$C$20,0))*INDEX(단가마스터!$H$6:$H$20,MATCH($B21,단가마스터!$C$6:$C$20,0)),0)</f>
        <v>36</v>
      </c>
    </row>
    <row r="22" spans="2:9" ht="15" customHeight="1">
      <c r="B22" s="48" t="s">
        <v>79</v>
      </c>
      <c r="C22" s="49"/>
      <c r="D22" s="49"/>
      <c r="E22" s="50">
        <f>SUM(E17:E21)</f>
        <v>621000</v>
      </c>
      <c r="F22" s="50">
        <f>SUM(F17:F21)</f>
        <v>1127000</v>
      </c>
      <c r="G22" s="50">
        <f>SUM(G17:G21)</f>
        <v>1652000</v>
      </c>
      <c r="I22" s="54">
        <f>SUM(I17:I21)</f>
        <v>522</v>
      </c>
    </row>
    <row r="23" spans="2:9" ht="15" customHeight="1">
      <c r="B23" s="51" t="s">
        <v>139</v>
      </c>
      <c r="C23" s="49"/>
      <c r="D23" s="49"/>
      <c r="E23" s="33">
        <f>E$6*$I$22</f>
        <v>522000</v>
      </c>
      <c r="F23" s="33">
        <f>F$6*$I$22</f>
        <v>1044000</v>
      </c>
      <c r="G23" s="33">
        <f>G$6*$I$22</f>
        <v>1566000</v>
      </c>
    </row>
    <row r="24" spans="2:9" ht="15" customHeight="1">
      <c r="B24" s="48" t="s">
        <v>140</v>
      </c>
      <c r="C24" s="49"/>
      <c r="D24" s="49"/>
      <c r="E24" s="52">
        <f>E22-E23</f>
        <v>99000</v>
      </c>
      <c r="F24" s="52">
        <f>F22-F23</f>
        <v>83000</v>
      </c>
      <c r="G24" s="52">
        <f>G22-G23</f>
        <v>86000</v>
      </c>
      <c r="H24" s="43" t="s">
        <v>141</v>
      </c>
    </row>
    <row r="26" spans="2:9" ht="15" customHeight="1">
      <c r="B26" s="40" t="s">
        <v>142</v>
      </c>
    </row>
    <row r="27" spans="2:9" ht="15" customHeight="1">
      <c r="B27" s="45" t="s">
        <v>85</v>
      </c>
      <c r="C27" s="29"/>
      <c r="D27" s="28" t="s">
        <v>143</v>
      </c>
      <c r="E27" s="46">
        <f>E$6</f>
        <v>1000</v>
      </c>
      <c r="F27" s="46">
        <f>F$6</f>
        <v>2000</v>
      </c>
      <c r="G27" s="46">
        <f>G$6</f>
        <v>3000</v>
      </c>
    </row>
    <row r="28" spans="2:9" ht="15" customHeight="1">
      <c r="B28" s="47" t="s">
        <v>144</v>
      </c>
      <c r="C28" s="49"/>
      <c r="D28" s="55">
        <v>1500000</v>
      </c>
      <c r="E28" s="33">
        <f t="shared" ref="E28:G29" si="1">$D28</f>
        <v>1500000</v>
      </c>
      <c r="F28" s="33">
        <f t="shared" si="1"/>
        <v>1500000</v>
      </c>
      <c r="G28" s="33">
        <f t="shared" si="1"/>
        <v>1500000</v>
      </c>
      <c r="H28" s="43" t="s">
        <v>145</v>
      </c>
    </row>
    <row r="29" spans="2:9" ht="15" customHeight="1">
      <c r="B29" s="47" t="s">
        <v>146</v>
      </c>
      <c r="C29" s="49"/>
      <c r="D29" s="55">
        <v>2000000</v>
      </c>
      <c r="E29" s="33">
        <f t="shared" si="1"/>
        <v>2000000</v>
      </c>
      <c r="F29" s="33">
        <f t="shared" si="1"/>
        <v>2000000</v>
      </c>
      <c r="G29" s="33">
        <f t="shared" si="1"/>
        <v>2000000</v>
      </c>
    </row>
    <row r="31" spans="2:9" ht="15" customHeight="1">
      <c r="B31" s="40" t="s">
        <v>147</v>
      </c>
    </row>
    <row r="32" spans="2:9" ht="15" customHeight="1">
      <c r="B32" s="45" t="s">
        <v>85</v>
      </c>
      <c r="C32" s="29"/>
      <c r="D32" s="29"/>
      <c r="E32" s="46">
        <f>E$6</f>
        <v>1000</v>
      </c>
      <c r="F32" s="46">
        <f>F$6</f>
        <v>2000</v>
      </c>
      <c r="G32" s="46">
        <f>G$6</f>
        <v>3000</v>
      </c>
    </row>
    <row r="33" spans="2:7" ht="15" customHeight="1">
      <c r="B33" s="47" t="s">
        <v>148</v>
      </c>
      <c r="C33" s="49"/>
      <c r="D33" s="49"/>
      <c r="E33" s="33">
        <f>E11+E22+E28</f>
        <v>2880500</v>
      </c>
      <c r="F33" s="33">
        <f>F11+F22+F28</f>
        <v>3986500</v>
      </c>
      <c r="G33" s="33">
        <f>G11+G22+G28</f>
        <v>5111500</v>
      </c>
    </row>
    <row r="34" spans="2:7" ht="15" customHeight="1">
      <c r="B34" s="47" t="s">
        <v>149</v>
      </c>
      <c r="C34" s="49"/>
      <c r="D34" s="49"/>
      <c r="E34" s="33">
        <f>E$6*제조견적서!$R$11</f>
        <v>3800000</v>
      </c>
      <c r="F34" s="33">
        <f>F$6*제조견적서!$R$11</f>
        <v>7600000</v>
      </c>
      <c r="G34" s="33">
        <f>G$6*제조견적서!$R$11</f>
        <v>11400000</v>
      </c>
    </row>
    <row r="35" spans="2:7" ht="15" customHeight="1">
      <c r="B35" s="48" t="s">
        <v>150</v>
      </c>
      <c r="C35" s="49"/>
      <c r="D35" s="49"/>
      <c r="E35" s="56">
        <f>E34-E33</f>
        <v>919500</v>
      </c>
      <c r="F35" s="56">
        <f>F34-F33</f>
        <v>3613500</v>
      </c>
      <c r="G35" s="56">
        <f>G34-G33</f>
        <v>6288500</v>
      </c>
    </row>
    <row r="36" spans="2:7" ht="15" customHeight="1">
      <c r="B36" s="48" t="s">
        <v>151</v>
      </c>
      <c r="C36" s="49"/>
      <c r="D36" s="49"/>
      <c r="E36" s="57">
        <f>IF(E34=0,0,E35/E34)</f>
        <v>0.24197368421052631</v>
      </c>
      <c r="F36" s="57">
        <f>IF(F34=0,0,F35/F34)</f>
        <v>0.4754605263157895</v>
      </c>
      <c r="G36" s="57">
        <f>IF(G34=0,0,G35/G34)</f>
        <v>0.55162280701754385</v>
      </c>
    </row>
    <row r="37" spans="2:7" ht="15" customHeight="1">
      <c r="B37" s="51" t="s">
        <v>152</v>
      </c>
      <c r="C37" s="49"/>
      <c r="D37" s="49"/>
      <c r="E37" s="53">
        <f>E33/E$6</f>
        <v>2880.5</v>
      </c>
      <c r="F37" s="53">
        <f>F33/F$6</f>
        <v>1993.25</v>
      </c>
      <c r="G37" s="53">
        <f>G33/G$6</f>
        <v>1703.8333333333333</v>
      </c>
    </row>
    <row r="39" spans="2:7" ht="15" customHeight="1">
      <c r="B39" s="40" t="s">
        <v>153</v>
      </c>
    </row>
    <row r="40" spans="2:7" ht="15" customHeight="1">
      <c r="B40" s="45" t="s">
        <v>85</v>
      </c>
      <c r="C40" s="29"/>
      <c r="D40" s="29"/>
      <c r="E40" s="46">
        <f>E$6</f>
        <v>1000</v>
      </c>
      <c r="F40" s="46">
        <f>F$6</f>
        <v>2000</v>
      </c>
      <c r="G40" s="46">
        <f>G$6</f>
        <v>3000</v>
      </c>
    </row>
    <row r="41" spans="2:7" ht="15" customHeight="1">
      <c r="B41" s="47" t="s">
        <v>154</v>
      </c>
      <c r="C41" s="49"/>
      <c r="D41" s="49"/>
      <c r="E41" s="33">
        <f>E11+E22+E29</f>
        <v>3380500</v>
      </c>
      <c r="F41" s="33">
        <f>F11+F22+F29</f>
        <v>4486500</v>
      </c>
      <c r="G41" s="33">
        <f>G11+G22+G29</f>
        <v>5611500</v>
      </c>
    </row>
    <row r="42" spans="2:7" ht="15" customHeight="1">
      <c r="B42" s="47" t="s">
        <v>149</v>
      </c>
      <c r="C42" s="49"/>
      <c r="D42" s="49"/>
      <c r="E42" s="33">
        <f>E$6*제조견적서!$R$11</f>
        <v>3800000</v>
      </c>
      <c r="F42" s="33">
        <f>F$6*제조견적서!$R$11</f>
        <v>7600000</v>
      </c>
      <c r="G42" s="33">
        <f>G$6*제조견적서!$R$11</f>
        <v>11400000</v>
      </c>
    </row>
    <row r="43" spans="2:7" ht="15" customHeight="1">
      <c r="B43" s="48" t="s">
        <v>150</v>
      </c>
      <c r="C43" s="49"/>
      <c r="D43" s="49"/>
      <c r="E43" s="58">
        <f>E42-E41</f>
        <v>419500</v>
      </c>
      <c r="F43" s="58">
        <f>F42-F41</f>
        <v>3113500</v>
      </c>
      <c r="G43" s="58">
        <f>G42-G41</f>
        <v>5788500</v>
      </c>
    </row>
    <row r="44" spans="2:7" ht="15" customHeight="1">
      <c r="B44" s="48" t="s">
        <v>151</v>
      </c>
      <c r="C44" s="49"/>
      <c r="D44" s="49"/>
      <c r="E44" s="59">
        <f>IF(E42=0,0,E43/E42)</f>
        <v>0.11039473684210527</v>
      </c>
      <c r="F44" s="59">
        <f>IF(F42=0,0,F43/F42)</f>
        <v>0.40967105263157894</v>
      </c>
      <c r="G44" s="59">
        <f>IF(G42=0,0,G43/G42)</f>
        <v>0.50776315789473681</v>
      </c>
    </row>
    <row r="45" spans="2:7" ht="15" customHeight="1">
      <c r="B45" s="51" t="s">
        <v>152</v>
      </c>
      <c r="C45" s="49"/>
      <c r="D45" s="49"/>
      <c r="E45" s="53">
        <f>E41/E$6</f>
        <v>3380.5</v>
      </c>
      <c r="F45" s="53">
        <f>F41/F$6</f>
        <v>2243.25</v>
      </c>
      <c r="G45" s="53">
        <f>G41/G$6</f>
        <v>1870.5</v>
      </c>
    </row>
    <row r="47" spans="2:7" ht="15" customHeight="1">
      <c r="B47" s="40" t="s">
        <v>155</v>
      </c>
    </row>
    <row r="48" spans="2:7" ht="15" customHeight="1">
      <c r="B48" s="45" t="s">
        <v>85</v>
      </c>
      <c r="C48" s="29"/>
      <c r="D48" s="29"/>
      <c r="E48" s="46">
        <f>E$6</f>
        <v>1000</v>
      </c>
      <c r="F48" s="46">
        <f>F$6</f>
        <v>2000</v>
      </c>
      <c r="G48" s="46">
        <f>G$6</f>
        <v>3000</v>
      </c>
    </row>
    <row r="49" spans="2:8" ht="15" customHeight="1">
      <c r="B49" s="48" t="s">
        <v>156</v>
      </c>
      <c r="C49" s="49"/>
      <c r="D49" s="49"/>
      <c r="E49" s="50">
        <f>E34-E11-E22</f>
        <v>2419500</v>
      </c>
      <c r="F49" s="50">
        <f>F34-F11-F22</f>
        <v>5113500</v>
      </c>
      <c r="G49" s="50">
        <f>G34-G11-G22</f>
        <v>7788500</v>
      </c>
      <c r="H49" s="43" t="s">
        <v>157</v>
      </c>
    </row>
    <row r="50" spans="2:8" ht="15" customHeight="1">
      <c r="B50" s="48" t="s">
        <v>158</v>
      </c>
      <c r="C50" s="49"/>
      <c r="D50" s="49"/>
      <c r="E50" s="50">
        <f>E34*0.8-E11-E22</f>
        <v>1659500</v>
      </c>
      <c r="F50" s="50">
        <f>F34*0.8-F11-F22</f>
        <v>3593500</v>
      </c>
      <c r="G50" s="50">
        <f>G34*0.8-G11-G22</f>
        <v>5508500</v>
      </c>
    </row>
    <row r="51" spans="2:8" ht="15" customHeight="1">
      <c r="B51" s="48" t="s">
        <v>159</v>
      </c>
      <c r="C51" s="49"/>
      <c r="D51" s="49"/>
      <c r="E51" s="50">
        <f>E34*0.7-E11-E22</f>
        <v>1279500</v>
      </c>
      <c r="F51" s="50">
        <f>F34*0.7-F11-F22</f>
        <v>2833500</v>
      </c>
      <c r="G51" s="50">
        <f>G34*0.7-G11-G22</f>
        <v>4368499.9999999991</v>
      </c>
    </row>
  </sheetData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C46"/>
  <sheetViews>
    <sheetView showGridLines="0" zoomScaleNormal="100" workbookViewId="0"/>
  </sheetViews>
  <sheetFormatPr defaultColWidth="8.7109375" defaultRowHeight="15"/>
  <cols>
    <col min="1" max="1" width="2.28515625" customWidth="1"/>
    <col min="2" max="2" width="22" customWidth="1"/>
    <col min="3" max="3" width="78" customWidth="1"/>
  </cols>
  <sheetData>
    <row r="2" spans="2:3" ht="17.25" customHeight="1">
      <c r="B2" s="94" t="s">
        <v>160</v>
      </c>
      <c r="C2" s="94"/>
    </row>
    <row r="4" spans="2:3" ht="16.5" customHeight="1">
      <c r="B4" s="60" t="s">
        <v>85</v>
      </c>
      <c r="C4" s="60" t="s">
        <v>161</v>
      </c>
    </row>
    <row r="5" spans="2:3" ht="16.5" customHeight="1">
      <c r="B5" s="61" t="s">
        <v>162</v>
      </c>
      <c r="C5" s="62" t="s">
        <v>163</v>
      </c>
    </row>
    <row r="6" spans="2:3" ht="16.5" customHeight="1">
      <c r="B6" s="61" t="s">
        <v>164</v>
      </c>
      <c r="C6" s="62" t="s">
        <v>165</v>
      </c>
    </row>
    <row r="7" spans="2:3" ht="30" customHeight="1">
      <c r="B7" s="61" t="s">
        <v>166</v>
      </c>
      <c r="C7" s="62" t="s">
        <v>167</v>
      </c>
    </row>
    <row r="8" spans="2:3" ht="16.5" customHeight="1">
      <c r="B8" s="61" t="s">
        <v>168</v>
      </c>
      <c r="C8" s="62" t="s">
        <v>169</v>
      </c>
    </row>
    <row r="9" spans="2:3" ht="30" customHeight="1">
      <c r="B9" s="61" t="s">
        <v>170</v>
      </c>
      <c r="C9" s="62" t="s">
        <v>171</v>
      </c>
    </row>
    <row r="10" spans="2:3" ht="16.5" customHeight="1">
      <c r="B10" s="61" t="s">
        <v>172</v>
      </c>
      <c r="C10" s="63" t="s">
        <v>173</v>
      </c>
    </row>
    <row r="11" spans="2:3" ht="16.5" customHeight="1">
      <c r="B11" s="61" t="s">
        <v>174</v>
      </c>
      <c r="C11" s="62" t="s">
        <v>175</v>
      </c>
    </row>
    <row r="12" spans="2:3" ht="16.5" customHeight="1">
      <c r="B12" s="61" t="s">
        <v>176</v>
      </c>
      <c r="C12" s="62" t="s">
        <v>177</v>
      </c>
    </row>
    <row r="15" spans="2:3" ht="17.25" customHeight="1">
      <c r="B15" s="94" t="s">
        <v>178</v>
      </c>
      <c r="C15" s="94"/>
    </row>
    <row r="16" spans="2:3" ht="16.5" customHeight="1">
      <c r="B16" s="60" t="s">
        <v>85</v>
      </c>
      <c r="C16" s="60" t="s">
        <v>179</v>
      </c>
    </row>
    <row r="17" spans="2:3" ht="16.5" customHeight="1">
      <c r="B17" s="61" t="s">
        <v>180</v>
      </c>
      <c r="C17" s="62" t="s">
        <v>181</v>
      </c>
    </row>
    <row r="18" spans="2:3" ht="16.5" customHeight="1">
      <c r="B18" s="61" t="s">
        <v>86</v>
      </c>
      <c r="C18" s="62" t="s">
        <v>182</v>
      </c>
    </row>
    <row r="19" spans="2:3" ht="16.5" customHeight="1">
      <c r="B19" s="61" t="s">
        <v>183</v>
      </c>
      <c r="C19" s="62" t="s">
        <v>184</v>
      </c>
    </row>
    <row r="20" spans="2:3" ht="16.5" customHeight="1">
      <c r="B20" s="61" t="s">
        <v>185</v>
      </c>
      <c r="C20" s="62" t="s">
        <v>186</v>
      </c>
    </row>
    <row r="21" spans="2:3" ht="16.5" customHeight="1">
      <c r="B21" s="61" t="s">
        <v>187</v>
      </c>
      <c r="C21" s="62" t="s">
        <v>188</v>
      </c>
    </row>
    <row r="22" spans="2:3" ht="16.5" customHeight="1">
      <c r="B22" s="61" t="s">
        <v>189</v>
      </c>
      <c r="C22" s="62" t="s">
        <v>190</v>
      </c>
    </row>
    <row r="23" spans="2:3" ht="16.5" customHeight="1">
      <c r="B23" s="61" t="s">
        <v>191</v>
      </c>
      <c r="C23" s="62" t="s">
        <v>192</v>
      </c>
    </row>
    <row r="25" spans="2:3" ht="17.25" customHeight="1">
      <c r="B25" s="94" t="s">
        <v>193</v>
      </c>
      <c r="C25" s="94"/>
    </row>
    <row r="26" spans="2:3" ht="16.5" customHeight="1">
      <c r="B26" s="60" t="s">
        <v>34</v>
      </c>
      <c r="C26" s="60" t="s">
        <v>194</v>
      </c>
    </row>
    <row r="27" spans="2:3" ht="16.5" customHeight="1">
      <c r="B27" s="64" t="s">
        <v>195</v>
      </c>
      <c r="C27" s="63" t="s">
        <v>196</v>
      </c>
    </row>
    <row r="28" spans="2:3" ht="16.5" customHeight="1">
      <c r="B28" s="64" t="s">
        <v>197</v>
      </c>
      <c r="C28" s="63" t="s">
        <v>198</v>
      </c>
    </row>
    <row r="29" spans="2:3" ht="16.5" customHeight="1">
      <c r="B29" s="64" t="s">
        <v>199</v>
      </c>
      <c r="C29" s="63" t="s">
        <v>200</v>
      </c>
    </row>
    <row r="30" spans="2:3" ht="30" customHeight="1">
      <c r="B30" s="61" t="s">
        <v>201</v>
      </c>
      <c r="C30" s="62" t="s">
        <v>202</v>
      </c>
    </row>
    <row r="32" spans="2:3" ht="17.25" customHeight="1">
      <c r="B32" s="94" t="s">
        <v>203</v>
      </c>
      <c r="C32" s="94"/>
    </row>
    <row r="33" spans="2:3" ht="16.5" customHeight="1">
      <c r="B33" s="60" t="s">
        <v>204</v>
      </c>
      <c r="C33" s="60" t="s">
        <v>161</v>
      </c>
    </row>
    <row r="34" spans="2:3" ht="16.5" customHeight="1">
      <c r="B34" s="61" t="s">
        <v>205</v>
      </c>
      <c r="C34" s="62" t="s">
        <v>206</v>
      </c>
    </row>
    <row r="35" spans="2:3" ht="16.5" customHeight="1">
      <c r="B35" s="61" t="s">
        <v>207</v>
      </c>
      <c r="C35" s="62" t="s">
        <v>208</v>
      </c>
    </row>
    <row r="36" spans="2:3" ht="30" customHeight="1">
      <c r="B36" s="61" t="s">
        <v>209</v>
      </c>
      <c r="C36" s="62" t="s">
        <v>210</v>
      </c>
    </row>
    <row r="37" spans="2:3" ht="16.5" customHeight="1">
      <c r="B37" s="61" t="s">
        <v>211</v>
      </c>
      <c r="C37" s="62" t="s">
        <v>212</v>
      </c>
    </row>
    <row r="39" spans="2:3" ht="17.25" customHeight="1">
      <c r="B39" s="94" t="s">
        <v>213</v>
      </c>
      <c r="C39" s="94"/>
    </row>
    <row r="40" spans="2:3" ht="16.5" customHeight="1">
      <c r="B40" s="60" t="s">
        <v>204</v>
      </c>
      <c r="C40" s="60" t="s">
        <v>214</v>
      </c>
    </row>
    <row r="41" spans="2:3" ht="16.5" customHeight="1">
      <c r="B41" s="61" t="s">
        <v>215</v>
      </c>
      <c r="C41" s="62" t="s">
        <v>216</v>
      </c>
    </row>
    <row r="42" spans="2:3" ht="16.5" customHeight="1">
      <c r="B42" s="61" t="s">
        <v>217</v>
      </c>
      <c r="C42" s="63" t="s">
        <v>218</v>
      </c>
    </row>
    <row r="43" spans="2:3" ht="16.5" customHeight="1">
      <c r="B43" s="61" t="s">
        <v>185</v>
      </c>
      <c r="C43" s="63" t="s">
        <v>219</v>
      </c>
    </row>
    <row r="44" spans="2:3" ht="16.5" customHeight="1">
      <c r="B44" s="61" t="s">
        <v>220</v>
      </c>
      <c r="C44" s="63" t="s">
        <v>221</v>
      </c>
    </row>
    <row r="45" spans="2:3" ht="16.5" customHeight="1">
      <c r="B45" s="61" t="s">
        <v>222</v>
      </c>
      <c r="C45" s="63" t="s">
        <v>223</v>
      </c>
    </row>
    <row r="46" spans="2:3" ht="16.5" customHeight="1">
      <c r="B46" s="61" t="s">
        <v>224</v>
      </c>
      <c r="C46" s="62" t="s">
        <v>225</v>
      </c>
    </row>
  </sheetData>
  <mergeCells count="5">
    <mergeCell ref="B2:C2"/>
    <mergeCell ref="B15:C15"/>
    <mergeCell ref="B25:C25"/>
    <mergeCell ref="B32:C32"/>
    <mergeCell ref="B39:C39"/>
  </mergeCells>
  <phoneticPr fontId="4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제조견적서</vt:lpstr>
      <vt:lpstr>단가마스터</vt:lpstr>
      <vt:lpstr>원가분석</vt:lpstr>
      <vt:lpstr>사용법</vt:lpstr>
      <vt:lpstr>사용법!Print_Area</vt:lpstr>
      <vt:lpstr>제조견적서!Print_Area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영주 박</cp:lastModifiedBy>
  <cp:revision>0</cp:revision>
  <dcterms:created xsi:type="dcterms:W3CDTF">2026-08-30T04:55:30Z</dcterms:created>
  <dcterms:modified xsi:type="dcterms:W3CDTF">2026-08-30T08:24:34Z</dcterms:modified>
  <dc:language>en-US</dc:language>
</cp:coreProperties>
</file>